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/>
  <mc:AlternateContent xmlns:mc="http://schemas.openxmlformats.org/markup-compatibility/2006">
    <mc:Choice Requires="x15">
      <x15ac:absPath xmlns:x15ac="http://schemas.microsoft.com/office/spreadsheetml/2010/11/ac" url="/Users/rhea/Desktop/Uni/Archives/Archives S6/BV/"/>
    </mc:Choice>
  </mc:AlternateContent>
  <xr:revisionPtr revIDLastSave="0" documentId="13_ncr:1_{1E59E449-79A6-6A4D-A2D3-267EC2FD8480}" xr6:coauthVersionLast="47" xr6:coauthVersionMax="47" xr10:uidLastSave="{00000000-0000-0000-0000-000000000000}"/>
  <bookViews>
    <workbookView xWindow="0" yWindow="740" windowWidth="29400" windowHeight="16540" tabRatio="653" xr2:uid="{00000000-000D-0000-FFFF-FFFF00000000}"/>
  </bookViews>
  <sheets>
    <sheet name="DCF Model" sheetId="8" r:id="rId1"/>
    <sheet name="Capex &amp; WCN" sheetId="9" r:id="rId2"/>
    <sheet name="Revenue (More Detailed)" sheetId="3" r:id="rId3"/>
    <sheet name="Income Statement" sheetId="4" r:id="rId4"/>
    <sheet name="Balance Sheet" sheetId="5" r:id="rId5"/>
  </sheets>
  <definedNames>
    <definedName name="CIQWBGuid" hidden="1">"2cd8126d-26c3-430c-b7fa-a069e3a1fc62"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DNTM" hidden="1">700000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MTD" hidden="1">800000</definedName>
    <definedName name="IQ_NAMES_REVISION_DATE_" hidden="1">41666.7099189815</definedName>
    <definedName name="IQ_NTM" hidden="1">6000</definedName>
    <definedName name="IQ_QTD" hidden="1">750000</definedName>
    <definedName name="IQ_TODAY" hidden="1">0</definedName>
    <definedName name="IQ_WEEK" hidden="1">50000</definedName>
    <definedName name="IQ_YTD" hidden="1">3000</definedName>
    <definedName name="IQ_YTDMONTH" hidden="1">130000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BE11" i="8" l="1"/>
  <c r="BE5" i="8"/>
  <c r="E14" i="9"/>
  <c r="F14" i="9"/>
  <c r="G14" i="9"/>
  <c r="H14" i="9"/>
  <c r="D14" i="9"/>
  <c r="AQ10" i="8"/>
  <c r="C49" i="5"/>
  <c r="D49" i="5"/>
  <c r="E49" i="5"/>
  <c r="F49" i="5"/>
  <c r="G49" i="5"/>
  <c r="H49" i="5"/>
  <c r="I49" i="5"/>
  <c r="J49" i="5"/>
  <c r="K49" i="5"/>
  <c r="L49" i="5"/>
  <c r="M49" i="5"/>
  <c r="N49" i="5"/>
  <c r="O49" i="5"/>
  <c r="P49" i="5"/>
  <c r="Q49" i="5"/>
  <c r="R49" i="5"/>
  <c r="S49" i="5"/>
  <c r="T49" i="5"/>
  <c r="U49" i="5"/>
  <c r="V49" i="5"/>
  <c r="W49" i="5"/>
  <c r="X49" i="5"/>
  <c r="Y49" i="5"/>
  <c r="Z49" i="5"/>
  <c r="AA49" i="5"/>
  <c r="AB49" i="5"/>
  <c r="AC49" i="5"/>
  <c r="AD49" i="5"/>
  <c r="AE49" i="5"/>
  <c r="AF49" i="5"/>
  <c r="AG49" i="5"/>
  <c r="AH49" i="5"/>
  <c r="AI49" i="5"/>
  <c r="B49" i="5"/>
  <c r="BA11" i="8"/>
  <c r="AY11" i="8"/>
  <c r="AX11" i="8"/>
  <c r="C11" i="9"/>
  <c r="E11" i="9"/>
  <c r="F11" i="9"/>
  <c r="G11" i="9"/>
  <c r="H11" i="9"/>
  <c r="D11" i="9"/>
  <c r="E12" i="9"/>
  <c r="F12" i="9"/>
  <c r="G12" i="9"/>
  <c r="H12" i="9"/>
  <c r="D12" i="9"/>
  <c r="C12" i="9"/>
  <c r="BE10" i="8"/>
  <c r="AZ11" i="8"/>
  <c r="BB11" i="8"/>
  <c r="E24" i="9"/>
  <c r="F24" i="9"/>
  <c r="G24" i="9"/>
  <c r="H24" i="9"/>
  <c r="D24" i="9"/>
  <c r="C24" i="9"/>
  <c r="C10" i="9"/>
  <c r="AQ7" i="8"/>
  <c r="AQ5" i="8"/>
  <c r="AQ8" i="8" s="1"/>
  <c r="AQ4" i="8"/>
  <c r="M8" i="8"/>
  <c r="M9" i="8"/>
  <c r="M7" i="8"/>
  <c r="D43" i="4"/>
  <c r="E43" i="4"/>
  <c r="F43" i="4"/>
  <c r="G43" i="4"/>
  <c r="H43" i="4"/>
  <c r="I43" i="4"/>
  <c r="J43" i="4"/>
  <c r="K43" i="4"/>
  <c r="L43" i="4"/>
  <c r="M43" i="4"/>
  <c r="N43" i="4"/>
  <c r="O43" i="4"/>
  <c r="P43" i="4"/>
  <c r="Q43" i="4"/>
  <c r="R43" i="4"/>
  <c r="S43" i="4"/>
  <c r="T43" i="4"/>
  <c r="U43" i="4"/>
  <c r="V43" i="4"/>
  <c r="W43" i="4"/>
  <c r="X43" i="4"/>
  <c r="Y43" i="4"/>
  <c r="Z43" i="4"/>
  <c r="AA43" i="4"/>
  <c r="AB43" i="4"/>
  <c r="AC43" i="4"/>
  <c r="AD43" i="4"/>
  <c r="AE43" i="4"/>
  <c r="AF43" i="4"/>
  <c r="AG43" i="4"/>
  <c r="AH43" i="4"/>
  <c r="AI43" i="4"/>
  <c r="AJ43" i="4"/>
  <c r="C43" i="4"/>
  <c r="AB14" i="5"/>
  <c r="AQ6" i="8" l="1"/>
  <c r="H25" i="9"/>
  <c r="AQ9" i="8"/>
  <c r="AR8" i="8" s="1"/>
  <c r="F25" i="9"/>
  <c r="G25" i="9"/>
  <c r="D25" i="9"/>
  <c r="E25" i="9"/>
  <c r="M10" i="8"/>
  <c r="AB8" i="8" s="1"/>
  <c r="AQ2" i="8" s="1"/>
  <c r="AR7" i="8" l="1"/>
  <c r="AR9" i="8" s="1"/>
  <c r="BF3" i="8" l="1"/>
  <c r="BJ3" i="8"/>
  <c r="BE7" i="8" s="1"/>
  <c r="BI3" i="8"/>
  <c r="BG3" i="8"/>
  <c r="BH3" i="8"/>
  <c r="BK3" i="8" l="1"/>
  <c r="BE9" i="8" s="1"/>
  <c r="BE12" i="8" s="1"/>
  <c r="BE13" i="8" s="1"/>
  <c r="AI29" i="5" l="1"/>
  <c r="AH29" i="5"/>
  <c r="AG29" i="5"/>
  <c r="AF29" i="5"/>
  <c r="AD29" i="5"/>
  <c r="AC29" i="5"/>
  <c r="AB29" i="5"/>
  <c r="AA29" i="5"/>
  <c r="Y29" i="5"/>
  <c r="Z29" i="5" s="1"/>
  <c r="X29" i="5"/>
  <c r="W29" i="5"/>
  <c r="V29" i="5"/>
  <c r="T29" i="5"/>
  <c r="S29" i="5"/>
  <c r="R29" i="5"/>
  <c r="Q29" i="5"/>
  <c r="O29" i="5"/>
  <c r="N29" i="5"/>
  <c r="M29" i="5"/>
  <c r="L29" i="5"/>
  <c r="J29" i="5"/>
  <c r="I29" i="5"/>
  <c r="H29" i="5"/>
  <c r="G29" i="5"/>
  <c r="E29" i="5"/>
  <c r="D29" i="5"/>
  <c r="C29" i="5"/>
  <c r="B29" i="5"/>
  <c r="AI19" i="5"/>
  <c r="AH19" i="5"/>
  <c r="AG19" i="5"/>
  <c r="AF19" i="5"/>
  <c r="AE19" i="5"/>
  <c r="AD19" i="5"/>
  <c r="AC19" i="5"/>
  <c r="AB19" i="5"/>
  <c r="AA19" i="5"/>
  <c r="Z19" i="5"/>
  <c r="Y19" i="5"/>
  <c r="X19" i="5"/>
  <c r="W19" i="5"/>
  <c r="V19" i="5"/>
  <c r="U19" i="5"/>
  <c r="T19" i="5"/>
  <c r="S19" i="5"/>
  <c r="R19" i="5"/>
  <c r="Q19" i="5"/>
  <c r="P19" i="5"/>
  <c r="O19" i="5"/>
  <c r="N19" i="5"/>
  <c r="M19" i="5"/>
  <c r="L19" i="5"/>
  <c r="K19" i="5"/>
  <c r="J19" i="5"/>
  <c r="I19" i="5"/>
  <c r="H19" i="5"/>
  <c r="G19" i="5"/>
  <c r="F19" i="5"/>
  <c r="E19" i="5"/>
  <c r="D19" i="5"/>
  <c r="C19" i="5"/>
  <c r="B19" i="5"/>
  <c r="B18" i="5" s="1"/>
  <c r="Y15" i="5"/>
  <c r="X15" i="5"/>
  <c r="W15" i="5"/>
  <c r="V15" i="5"/>
  <c r="T15" i="5"/>
  <c r="S15" i="5"/>
  <c r="R15" i="5"/>
  <c r="Q15" i="5"/>
  <c r="O15" i="5"/>
  <c r="N15" i="5"/>
  <c r="M15" i="5"/>
  <c r="L15" i="5"/>
  <c r="J15" i="5"/>
  <c r="I15" i="5"/>
  <c r="H15" i="5"/>
  <c r="G15" i="5"/>
  <c r="E15" i="5"/>
  <c r="D15" i="5"/>
  <c r="C15" i="5"/>
  <c r="B15" i="5"/>
  <c r="AI14" i="5"/>
  <c r="AH14" i="5"/>
  <c r="AG14" i="5"/>
  <c r="AF14" i="5"/>
  <c r="AD14" i="5"/>
  <c r="AC14" i="5"/>
  <c r="AI13" i="5"/>
  <c r="AH13" i="5"/>
  <c r="AG13" i="5"/>
  <c r="AF13" i="5"/>
  <c r="AD13" i="5"/>
  <c r="AC13" i="5"/>
  <c r="AB13" i="5"/>
  <c r="AA13" i="5"/>
  <c r="Y13" i="5"/>
  <c r="Z13" i="5" s="1"/>
  <c r="X13" i="5"/>
  <c r="W13" i="5"/>
  <c r="V13" i="5"/>
  <c r="T13" i="5"/>
  <c r="S13" i="5"/>
  <c r="R13" i="5"/>
  <c r="Q13" i="5"/>
  <c r="O13" i="5"/>
  <c r="N13" i="5"/>
  <c r="M13" i="5"/>
  <c r="L13" i="5"/>
  <c r="J13" i="5"/>
  <c r="I13" i="5"/>
  <c r="H13" i="5"/>
  <c r="G13" i="5"/>
  <c r="E13" i="5"/>
  <c r="D13" i="5"/>
  <c r="C13" i="5"/>
  <c r="B13" i="5"/>
  <c r="AA14" i="5"/>
  <c r="B38" i="5"/>
  <c r="C38" i="5" s="1"/>
  <c r="D38" i="5" s="1"/>
  <c r="E38" i="5" s="1"/>
  <c r="G38" i="5" s="1"/>
  <c r="H38" i="5" s="1"/>
  <c r="I38" i="5" s="1"/>
  <c r="J38" i="5" s="1"/>
  <c r="L38" i="5" s="1"/>
  <c r="M38" i="5" s="1"/>
  <c r="N38" i="5" s="1"/>
  <c r="O38" i="5" s="1"/>
  <c r="Q38" i="5" s="1"/>
  <c r="R38" i="5" s="1"/>
  <c r="S38" i="5" s="1"/>
  <c r="T38" i="5" s="1"/>
  <c r="V38" i="5" s="1"/>
  <c r="W38" i="5" s="1"/>
  <c r="X38" i="5" s="1"/>
  <c r="Y38" i="5" s="1"/>
  <c r="AA38" i="5" s="1"/>
  <c r="AB38" i="5" s="1"/>
  <c r="AC38" i="5" s="1"/>
  <c r="AD38" i="5" s="1"/>
  <c r="AF38" i="5" s="1"/>
  <c r="AG38" i="5" s="1"/>
  <c r="AH38" i="5" s="1"/>
  <c r="AI38" i="5" s="1"/>
  <c r="AF33" i="4"/>
  <c r="AA33" i="4"/>
  <c r="V33" i="4"/>
  <c r="Q33" i="4"/>
  <c r="L33" i="4"/>
  <c r="G33" i="4"/>
  <c r="AE39" i="5"/>
  <c r="Z39" i="5"/>
  <c r="U39" i="5"/>
  <c r="P39" i="5"/>
  <c r="K39" i="5"/>
  <c r="F39" i="5"/>
  <c r="AD35" i="5"/>
  <c r="AE35" i="5" s="1"/>
  <c r="AC35" i="5"/>
  <c r="AB35" i="5"/>
  <c r="V35" i="5"/>
  <c r="T35" i="5"/>
  <c r="U35" i="5" s="1"/>
  <c r="O35" i="5"/>
  <c r="P35" i="5" s="1"/>
  <c r="N35" i="5"/>
  <c r="M35" i="5"/>
  <c r="L35" i="5"/>
  <c r="E35" i="5"/>
  <c r="F35" i="5" s="1"/>
  <c r="D35" i="5"/>
  <c r="AI34" i="5"/>
  <c r="AI35" i="5" s="1"/>
  <c r="AH34" i="5"/>
  <c r="AH35" i="5" s="1"/>
  <c r="AG34" i="5"/>
  <c r="AF34" i="5"/>
  <c r="AD34" i="5"/>
  <c r="AE34" i="5" s="1"/>
  <c r="AC34" i="5"/>
  <c r="AB34" i="5"/>
  <c r="AA34" i="5"/>
  <c r="AA35" i="5" s="1"/>
  <c r="Y34" i="5"/>
  <c r="X34" i="5"/>
  <c r="W34" i="5"/>
  <c r="V34" i="5"/>
  <c r="U34" i="5"/>
  <c r="T34" i="5"/>
  <c r="S34" i="5"/>
  <c r="S35" i="5" s="1"/>
  <c r="R34" i="5"/>
  <c r="R35" i="5" s="1"/>
  <c r="Q34" i="5"/>
  <c r="Q35" i="5" s="1"/>
  <c r="O34" i="5"/>
  <c r="P34" i="5" s="1"/>
  <c r="N34" i="5"/>
  <c r="M34" i="5"/>
  <c r="L34" i="5"/>
  <c r="J34" i="5"/>
  <c r="J35" i="5" s="1"/>
  <c r="K35" i="5" s="1"/>
  <c r="I34" i="5"/>
  <c r="I35" i="5" s="1"/>
  <c r="H34" i="5"/>
  <c r="H35" i="5" s="1"/>
  <c r="G34" i="5"/>
  <c r="F34" i="5"/>
  <c r="E34" i="5"/>
  <c r="D34" i="5"/>
  <c r="C34" i="5"/>
  <c r="C35" i="5" s="1"/>
  <c r="B34" i="5"/>
  <c r="B35" i="5" s="1"/>
  <c r="AE33" i="5"/>
  <c r="Z33" i="5"/>
  <c r="U33" i="5"/>
  <c r="P33" i="5"/>
  <c r="K33" i="5"/>
  <c r="F33" i="5"/>
  <c r="AI31" i="5"/>
  <c r="AH31" i="5"/>
  <c r="AG31" i="5"/>
  <c r="AF31" i="5"/>
  <c r="AD31" i="5"/>
  <c r="AC31" i="5"/>
  <c r="AB31" i="5"/>
  <c r="AA31" i="5"/>
  <c r="Y31" i="5"/>
  <c r="X31" i="5"/>
  <c r="W31" i="5"/>
  <c r="W35" i="5" s="1"/>
  <c r="V31" i="5"/>
  <c r="T31" i="5"/>
  <c r="S31" i="5"/>
  <c r="R31" i="5"/>
  <c r="Q31" i="5"/>
  <c r="O31" i="5"/>
  <c r="N31" i="5"/>
  <c r="M31" i="5"/>
  <c r="L31" i="5"/>
  <c r="J31" i="5"/>
  <c r="I31" i="5"/>
  <c r="H31" i="5"/>
  <c r="G31" i="5"/>
  <c r="G35" i="5" s="1"/>
  <c r="F31" i="5"/>
  <c r="E31" i="5"/>
  <c r="D31" i="5"/>
  <c r="C31" i="5"/>
  <c r="B31" i="5"/>
  <c r="AE30" i="5"/>
  <c r="AE31" i="5" s="1"/>
  <c r="Z30" i="5"/>
  <c r="Z31" i="5" s="1"/>
  <c r="U30" i="5"/>
  <c r="U31" i="5" s="1"/>
  <c r="P30" i="5"/>
  <c r="P31" i="5" s="1"/>
  <c r="K30" i="5"/>
  <c r="K31" i="5" s="1"/>
  <c r="F30" i="5"/>
  <c r="AE29" i="5"/>
  <c r="U29" i="5"/>
  <c r="P29" i="5"/>
  <c r="K29" i="5"/>
  <c r="F29" i="5"/>
  <c r="B16" i="5"/>
  <c r="AE15" i="5"/>
  <c r="Z15" i="5"/>
  <c r="U15" i="5"/>
  <c r="P15" i="5"/>
  <c r="K15" i="5"/>
  <c r="F15" i="5"/>
  <c r="AE13" i="5"/>
  <c r="U13" i="5"/>
  <c r="P13" i="5"/>
  <c r="K13" i="5"/>
  <c r="F13" i="5"/>
  <c r="AG7" i="5"/>
  <c r="Z7" i="5"/>
  <c r="U7" i="5"/>
  <c r="Q6" i="5" s="1"/>
  <c r="K7" i="5"/>
  <c r="J7" i="5" s="1"/>
  <c r="AG5" i="5"/>
  <c r="AH5" i="5" s="1"/>
  <c r="AI5" i="5" s="1"/>
  <c r="AI7" i="5" s="1"/>
  <c r="AF5" i="5"/>
  <c r="AF7" i="5" s="1"/>
  <c r="AE5" i="5"/>
  <c r="AE7" i="5" s="1"/>
  <c r="AB7" i="5" s="1"/>
  <c r="U5" i="5"/>
  <c r="P5" i="5"/>
  <c r="P7" i="5" s="1"/>
  <c r="K5" i="5"/>
  <c r="F5" i="5"/>
  <c r="F7" i="5" s="1"/>
  <c r="E7" i="5" s="1"/>
  <c r="AA7" i="4"/>
  <c r="Y7" i="4" s="1"/>
  <c r="AB6" i="4"/>
  <c r="AF5" i="4"/>
  <c r="AG5" i="4" s="1"/>
  <c r="V5" i="4"/>
  <c r="Q5" i="4" s="1"/>
  <c r="Z6" i="3"/>
  <c r="X6" i="3" s="1"/>
  <c r="AI5" i="3"/>
  <c r="AH5" i="3"/>
  <c r="AG5" i="3"/>
  <c r="AA5" i="3"/>
  <c r="V5" i="3"/>
  <c r="U5" i="3"/>
  <c r="Q5" i="3"/>
  <c r="P5" i="3"/>
  <c r="L5" i="3"/>
  <c r="K5" i="3"/>
  <c r="G5" i="3"/>
  <c r="F5" i="3"/>
  <c r="B5" i="3"/>
  <c r="AE3" i="3"/>
  <c r="AE6" i="3" s="1"/>
  <c r="U3" i="3"/>
  <c r="U6" i="3" s="1"/>
  <c r="P3" i="3"/>
  <c r="P6" i="3" s="1"/>
  <c r="K3" i="3"/>
  <c r="F3" i="3" s="1"/>
  <c r="F6" i="3" s="1"/>
  <c r="D5" i="8"/>
  <c r="V37" i="4"/>
  <c r="Q37" i="4"/>
  <c r="G37" i="4"/>
  <c r="L37" i="4"/>
  <c r="F38" i="5" l="1"/>
  <c r="C18" i="5"/>
  <c r="D18" i="5" s="1"/>
  <c r="B23" i="5"/>
  <c r="B24" i="5" s="1"/>
  <c r="S7" i="5"/>
  <c r="T7" i="5"/>
  <c r="R7" i="5"/>
  <c r="B7" i="5"/>
  <c r="I7" i="5"/>
  <c r="Q7" i="5"/>
  <c r="C7" i="5"/>
  <c r="D7" i="5"/>
  <c r="O7" i="5"/>
  <c r="M7" i="5"/>
  <c r="N7" i="5"/>
  <c r="L6" i="5"/>
  <c r="L7" i="5"/>
  <c r="Z34" i="5"/>
  <c r="Y35" i="5"/>
  <c r="Z35" i="5" s="1"/>
  <c r="C40" i="5"/>
  <c r="C42" i="5" s="1"/>
  <c r="AC7" i="5"/>
  <c r="AD7" i="5"/>
  <c r="AA7" i="5"/>
  <c r="B40" i="5"/>
  <c r="B42" i="5" s="1"/>
  <c r="AH7" i="5"/>
  <c r="C23" i="5"/>
  <c r="AA6" i="5"/>
  <c r="X7" i="5"/>
  <c r="V6" i="5"/>
  <c r="W7" i="5"/>
  <c r="V7" i="5"/>
  <c r="D16" i="5"/>
  <c r="AF35" i="5"/>
  <c r="F16" i="5"/>
  <c r="Y7" i="5"/>
  <c r="C16" i="5"/>
  <c r="H7" i="5"/>
  <c r="G7" i="5"/>
  <c r="G6" i="5"/>
  <c r="B6" i="5"/>
  <c r="E16" i="5"/>
  <c r="X35" i="5"/>
  <c r="AG35" i="5"/>
  <c r="K34" i="5"/>
  <c r="Z7" i="4"/>
  <c r="Y6" i="3"/>
  <c r="L5" i="4"/>
  <c r="Q7" i="4"/>
  <c r="AG7" i="4"/>
  <c r="AH5" i="4"/>
  <c r="W7" i="4"/>
  <c r="X7" i="4"/>
  <c r="AF7" i="4"/>
  <c r="V7" i="4"/>
  <c r="R6" i="4" s="1"/>
  <c r="V6" i="3"/>
  <c r="AD6" i="3"/>
  <c r="AC6" i="3"/>
  <c r="AB6" i="3"/>
  <c r="AA6" i="3"/>
  <c r="N6" i="3"/>
  <c r="M6" i="3"/>
  <c r="L6" i="3"/>
  <c r="O6" i="3"/>
  <c r="E6" i="3"/>
  <c r="D6" i="3"/>
  <c r="C6" i="3"/>
  <c r="B6" i="3"/>
  <c r="AF3" i="3"/>
  <c r="K6" i="3"/>
  <c r="W6" i="3"/>
  <c r="AF41" i="4"/>
  <c r="AA41" i="4"/>
  <c r="V41" i="4"/>
  <c r="Q41" i="4"/>
  <c r="AA37" i="4"/>
  <c r="U26" i="4"/>
  <c r="T26" i="4"/>
  <c r="S26" i="4"/>
  <c r="R26" i="4"/>
  <c r="P26" i="4"/>
  <c r="O26" i="4"/>
  <c r="N26" i="4"/>
  <c r="M26" i="4"/>
  <c r="K26" i="4"/>
  <c r="J26" i="4"/>
  <c r="I26" i="4"/>
  <c r="H26" i="4"/>
  <c r="F26" i="4"/>
  <c r="E26" i="4"/>
  <c r="D26" i="4"/>
  <c r="C26" i="4"/>
  <c r="AA23" i="4"/>
  <c r="V23" i="4"/>
  <c r="Q23" i="4"/>
  <c r="L23" i="4"/>
  <c r="G23" i="4"/>
  <c r="AA21" i="4"/>
  <c r="V21" i="4"/>
  <c r="Q21" i="4"/>
  <c r="L21" i="4"/>
  <c r="G21" i="4"/>
  <c r="AA19" i="4"/>
  <c r="V19" i="4"/>
  <c r="Q19" i="4"/>
  <c r="L19" i="4"/>
  <c r="G19" i="4"/>
  <c r="V17" i="4"/>
  <c r="Q17" i="4"/>
  <c r="L17" i="4"/>
  <c r="G17" i="4"/>
  <c r="AA12" i="4"/>
  <c r="K38" i="5" l="1"/>
  <c r="Q26" i="4"/>
  <c r="G16" i="5"/>
  <c r="C24" i="5"/>
  <c r="C43" i="5" s="1"/>
  <c r="D40" i="5"/>
  <c r="D42" i="5" s="1"/>
  <c r="B44" i="5"/>
  <c r="B43" i="5"/>
  <c r="E18" i="5"/>
  <c r="D23" i="5"/>
  <c r="D24" i="5" s="1"/>
  <c r="G5" i="4"/>
  <c r="G7" i="4" s="1"/>
  <c r="L7" i="4"/>
  <c r="AB7" i="4"/>
  <c r="AD7" i="4"/>
  <c r="AE7" i="4"/>
  <c r="AC7" i="4"/>
  <c r="AH7" i="4"/>
  <c r="AI5" i="4"/>
  <c r="O7" i="4"/>
  <c r="N7" i="4"/>
  <c r="M7" i="4"/>
  <c r="P7" i="4"/>
  <c r="M6" i="4"/>
  <c r="AF6" i="3"/>
  <c r="AG3" i="3"/>
  <c r="J6" i="3"/>
  <c r="I6" i="3"/>
  <c r="H6" i="3"/>
  <c r="G6" i="3"/>
  <c r="V26" i="4"/>
  <c r="L26" i="4"/>
  <c r="G26" i="4"/>
  <c r="P38" i="5" l="1"/>
  <c r="C44" i="5"/>
  <c r="D43" i="5"/>
  <c r="D44" i="5"/>
  <c r="E40" i="5"/>
  <c r="G18" i="5"/>
  <c r="F18" i="5"/>
  <c r="E23" i="5"/>
  <c r="H16" i="5"/>
  <c r="H6" i="4"/>
  <c r="J7" i="4"/>
  <c r="H7" i="4"/>
  <c r="K7" i="4"/>
  <c r="I7" i="4"/>
  <c r="F7" i="4"/>
  <c r="C6" i="4"/>
  <c r="E7" i="4"/>
  <c r="D7" i="4"/>
  <c r="C7" i="4"/>
  <c r="AI7" i="4"/>
  <c r="AJ5" i="4"/>
  <c r="AJ7" i="4" s="1"/>
  <c r="AG6" i="3"/>
  <c r="AH3" i="3"/>
  <c r="U38" i="5" l="1"/>
  <c r="F23" i="5"/>
  <c r="E24" i="5"/>
  <c r="F24" i="5" s="1"/>
  <c r="G23" i="5"/>
  <c r="G24" i="5" s="1"/>
  <c r="H18" i="5"/>
  <c r="G40" i="5"/>
  <c r="G42" i="5" s="1"/>
  <c r="F40" i="5"/>
  <c r="E42" i="5"/>
  <c r="I16" i="5"/>
  <c r="AI3" i="3"/>
  <c r="AI6" i="3" s="1"/>
  <c r="AH6" i="3"/>
  <c r="Z38" i="5" l="1"/>
  <c r="E43" i="5"/>
  <c r="F42" i="5"/>
  <c r="E44" i="5"/>
  <c r="H23" i="5"/>
  <c r="H24" i="5" s="1"/>
  <c r="I18" i="5"/>
  <c r="G44" i="5"/>
  <c r="G43" i="5"/>
  <c r="H40" i="5"/>
  <c r="H42" i="5" s="1"/>
  <c r="J16" i="5"/>
  <c r="D6" i="8"/>
  <c r="AE38" i="5" l="1"/>
  <c r="F44" i="5"/>
  <c r="F43" i="5"/>
  <c r="I40" i="5"/>
  <c r="I42" i="5" s="1"/>
  <c r="I23" i="5"/>
  <c r="I24" i="5" s="1"/>
  <c r="J18" i="5"/>
  <c r="K16" i="5"/>
  <c r="H44" i="5"/>
  <c r="H43" i="5"/>
  <c r="L18" i="5" l="1"/>
  <c r="K18" i="5"/>
  <c r="J23" i="5"/>
  <c r="L16" i="5"/>
  <c r="J40" i="5"/>
  <c r="I43" i="5"/>
  <c r="I44" i="5"/>
  <c r="AA18" i="3"/>
  <c r="AA20" i="3" s="1"/>
  <c r="AB18" i="3"/>
  <c r="AC18" i="3"/>
  <c r="AC20" i="3" s="1"/>
  <c r="AD18" i="3"/>
  <c r="B9" i="3"/>
  <c r="C8" i="4" s="1"/>
  <c r="C9" i="3"/>
  <c r="D8" i="4" s="1"/>
  <c r="D9" i="3"/>
  <c r="E8" i="4" s="1"/>
  <c r="E9" i="3"/>
  <c r="F8" i="4" s="1"/>
  <c r="G9" i="3"/>
  <c r="H8" i="4" s="1"/>
  <c r="H9" i="3"/>
  <c r="I8" i="4" s="1"/>
  <c r="I9" i="3"/>
  <c r="J8" i="4" s="1"/>
  <c r="J9" i="3"/>
  <c r="L9" i="3"/>
  <c r="M8" i="4" s="1"/>
  <c r="M9" i="3"/>
  <c r="N9" i="3"/>
  <c r="O8" i="4" s="1"/>
  <c r="O9" i="3"/>
  <c r="P8" i="4" s="1"/>
  <c r="Q9" i="3"/>
  <c r="R8" i="4" s="1"/>
  <c r="R9" i="3"/>
  <c r="S8" i="4" s="1"/>
  <c r="S13" i="3"/>
  <c r="U13" i="3" s="1"/>
  <c r="T9" i="3"/>
  <c r="U8" i="4" s="1"/>
  <c r="V9" i="3"/>
  <c r="W9" i="3"/>
  <c r="X8" i="4" s="1"/>
  <c r="Y9" i="3"/>
  <c r="Z8" i="4" s="1"/>
  <c r="AA13" i="3"/>
  <c r="AB13" i="3"/>
  <c r="AB9" i="3" s="1"/>
  <c r="AD13" i="3"/>
  <c r="AD9" i="3" s="1"/>
  <c r="AE8" i="4" s="1"/>
  <c r="Z18" i="3"/>
  <c r="Z19" i="3" s="1"/>
  <c r="Y21" i="3"/>
  <c r="W21" i="3"/>
  <c r="V21" i="3"/>
  <c r="U18" i="3"/>
  <c r="T21" i="3"/>
  <c r="P18" i="3"/>
  <c r="P19" i="3" s="1"/>
  <c r="P13" i="3"/>
  <c r="P14" i="3" s="1"/>
  <c r="P9" i="3"/>
  <c r="P10" i="3" s="1"/>
  <c r="P21" i="3"/>
  <c r="N21" i="3"/>
  <c r="K18" i="3"/>
  <c r="K13" i="3"/>
  <c r="K9" i="3"/>
  <c r="K21" i="3"/>
  <c r="J21" i="3"/>
  <c r="F18" i="3"/>
  <c r="F13" i="3"/>
  <c r="F9" i="3"/>
  <c r="F16" i="3" s="1"/>
  <c r="F21" i="3"/>
  <c r="E21" i="3"/>
  <c r="D21" i="3"/>
  <c r="B21" i="3"/>
  <c r="Y20" i="3"/>
  <c r="X20" i="3"/>
  <c r="W20" i="3"/>
  <c r="V20" i="3"/>
  <c r="T20" i="3"/>
  <c r="S20" i="3"/>
  <c r="R20" i="3"/>
  <c r="Q20" i="3"/>
  <c r="O20" i="3"/>
  <c r="N20" i="3"/>
  <c r="M20" i="3"/>
  <c r="L20" i="3"/>
  <c r="J20" i="3"/>
  <c r="I20" i="3"/>
  <c r="H20" i="3"/>
  <c r="G20" i="3"/>
  <c r="E20" i="3"/>
  <c r="D20" i="3"/>
  <c r="C20" i="3"/>
  <c r="Y19" i="3"/>
  <c r="X19" i="3"/>
  <c r="W19" i="3"/>
  <c r="V19" i="3"/>
  <c r="U19" i="3"/>
  <c r="T19" i="3"/>
  <c r="S19" i="3"/>
  <c r="R19" i="3"/>
  <c r="Q19" i="3"/>
  <c r="O19" i="3"/>
  <c r="N19" i="3"/>
  <c r="M19" i="3"/>
  <c r="L19" i="3"/>
  <c r="K19" i="3"/>
  <c r="J19" i="3"/>
  <c r="I19" i="3"/>
  <c r="H19" i="3"/>
  <c r="G19" i="3"/>
  <c r="Y16" i="3"/>
  <c r="W16" i="3"/>
  <c r="N16" i="3"/>
  <c r="L16" i="3"/>
  <c r="K16" i="3"/>
  <c r="D16" i="3"/>
  <c r="C16" i="3"/>
  <c r="B16" i="3"/>
  <c r="AA15" i="3"/>
  <c r="W15" i="3"/>
  <c r="V15" i="3"/>
  <c r="R15" i="3"/>
  <c r="Q15" i="3"/>
  <c r="O15" i="3"/>
  <c r="N15" i="3"/>
  <c r="M15" i="3"/>
  <c r="L15" i="3"/>
  <c r="J15" i="3"/>
  <c r="I15" i="3"/>
  <c r="H15" i="3"/>
  <c r="G15" i="3"/>
  <c r="E15" i="3"/>
  <c r="D15" i="3"/>
  <c r="C15" i="3"/>
  <c r="Y14" i="3"/>
  <c r="W14" i="3"/>
  <c r="V14" i="3"/>
  <c r="T14" i="3"/>
  <c r="R14" i="3"/>
  <c r="Q14" i="3"/>
  <c r="O14" i="3"/>
  <c r="N14" i="3"/>
  <c r="M14" i="3"/>
  <c r="L14" i="3"/>
  <c r="K14" i="3"/>
  <c r="J14" i="3"/>
  <c r="I14" i="3"/>
  <c r="H14" i="3"/>
  <c r="G14" i="3"/>
  <c r="V11" i="3"/>
  <c r="R11" i="3"/>
  <c r="Q11" i="3"/>
  <c r="N11" i="3"/>
  <c r="D11" i="3"/>
  <c r="Y10" i="3"/>
  <c r="W10" i="3"/>
  <c r="K10" i="3"/>
  <c r="H10" i="3"/>
  <c r="L40" i="5" l="1"/>
  <c r="L42" i="5" s="1"/>
  <c r="M16" i="5"/>
  <c r="K23" i="5"/>
  <c r="J24" i="5"/>
  <c r="K24" i="5" s="1"/>
  <c r="K40" i="5"/>
  <c r="J42" i="5"/>
  <c r="M18" i="5"/>
  <c r="L23" i="5"/>
  <c r="L24" i="5" s="1"/>
  <c r="R22" i="4"/>
  <c r="R27" i="4"/>
  <c r="R24" i="4"/>
  <c r="R14" i="4"/>
  <c r="R15" i="4" s="1"/>
  <c r="R13" i="4"/>
  <c r="R18" i="4"/>
  <c r="R9" i="4"/>
  <c r="R10" i="4"/>
  <c r="R29" i="4"/>
  <c r="R20" i="4"/>
  <c r="R34" i="4"/>
  <c r="AB16" i="3"/>
  <c r="P18" i="4"/>
  <c r="P24" i="4"/>
  <c r="P10" i="4"/>
  <c r="P34" i="4"/>
  <c r="P14" i="4"/>
  <c r="P15" i="4" s="1"/>
  <c r="P13" i="4"/>
  <c r="P22" i="4"/>
  <c r="P20" i="4"/>
  <c r="P29" i="4"/>
  <c r="P27" i="4"/>
  <c r="AA9" i="3"/>
  <c r="P16" i="3"/>
  <c r="F20" i="4"/>
  <c r="F14" i="4"/>
  <c r="F15" i="4" s="1"/>
  <c r="F18" i="4"/>
  <c r="F24" i="4"/>
  <c r="F29" i="4"/>
  <c r="F13" i="4"/>
  <c r="F10" i="4"/>
  <c r="F22" i="4"/>
  <c r="F34" i="4"/>
  <c r="F27" i="4"/>
  <c r="M10" i="3"/>
  <c r="G11" i="3"/>
  <c r="S15" i="3"/>
  <c r="Q16" i="3"/>
  <c r="AB20" i="3"/>
  <c r="Q21" i="3"/>
  <c r="X20" i="4"/>
  <c r="X17" i="4"/>
  <c r="X24" i="4"/>
  <c r="X22" i="4"/>
  <c r="X9" i="4"/>
  <c r="X14" i="4"/>
  <c r="X15" i="4" s="1"/>
  <c r="X13" i="4"/>
  <c r="X34" i="4"/>
  <c r="O20" i="4"/>
  <c r="O13" i="4"/>
  <c r="O18" i="4"/>
  <c r="O10" i="4"/>
  <c r="O14" i="4"/>
  <c r="O15" i="4" s="1"/>
  <c r="O9" i="4"/>
  <c r="O27" i="4"/>
  <c r="O22" i="4"/>
  <c r="O24" i="4"/>
  <c r="O29" i="4"/>
  <c r="O34" i="4"/>
  <c r="E20" i="4"/>
  <c r="E14" i="4"/>
  <c r="E15" i="4" s="1"/>
  <c r="E10" i="4"/>
  <c r="E22" i="4"/>
  <c r="E29" i="4"/>
  <c r="E18" i="4"/>
  <c r="E13" i="4"/>
  <c r="E24" i="4"/>
  <c r="E34" i="4"/>
  <c r="E27" i="4"/>
  <c r="AB21" i="3"/>
  <c r="AC8" i="4"/>
  <c r="J10" i="4"/>
  <c r="J9" i="4"/>
  <c r="J24" i="4"/>
  <c r="J22" i="4"/>
  <c r="J20" i="4"/>
  <c r="J14" i="4"/>
  <c r="J15" i="4" s="1"/>
  <c r="J18" i="4"/>
  <c r="J13" i="4"/>
  <c r="J29" i="4"/>
  <c r="J27" i="4"/>
  <c r="J34" i="4"/>
  <c r="I10" i="4"/>
  <c r="I9" i="4"/>
  <c r="I22" i="4"/>
  <c r="I18" i="4"/>
  <c r="I24" i="4"/>
  <c r="I20" i="4"/>
  <c r="I13" i="4"/>
  <c r="I14" i="4"/>
  <c r="I15" i="4" s="1"/>
  <c r="I34" i="4"/>
  <c r="I27" i="4"/>
  <c r="I29" i="4"/>
  <c r="Z22" i="4"/>
  <c r="Z24" i="4"/>
  <c r="Z20" i="4"/>
  <c r="Z14" i="4"/>
  <c r="Z15" i="4" s="1"/>
  <c r="Z13" i="4"/>
  <c r="Z9" i="4"/>
  <c r="Z17" i="4"/>
  <c r="Z34" i="4"/>
  <c r="L10" i="3"/>
  <c r="X13" i="3"/>
  <c r="N10" i="3"/>
  <c r="H11" i="3"/>
  <c r="AB11" i="3"/>
  <c r="T15" i="3"/>
  <c r="G16" i="3"/>
  <c r="R16" i="3"/>
  <c r="G21" i="3"/>
  <c r="L21" i="3"/>
  <c r="R21" i="3"/>
  <c r="V10" i="3"/>
  <c r="W8" i="4"/>
  <c r="X10" i="4" s="1"/>
  <c r="M21" i="3"/>
  <c r="N8" i="4"/>
  <c r="D24" i="4"/>
  <c r="D18" i="4"/>
  <c r="D13" i="4"/>
  <c r="D20" i="4"/>
  <c r="D22" i="4"/>
  <c r="D14" i="4"/>
  <c r="D15" i="4" s="1"/>
  <c r="D10" i="4"/>
  <c r="D27" i="4"/>
  <c r="D34" i="4"/>
  <c r="D29" i="4"/>
  <c r="AD20" i="3"/>
  <c r="I10" i="3"/>
  <c r="S10" i="4"/>
  <c r="S14" i="4"/>
  <c r="S15" i="4" s="1"/>
  <c r="S13" i="4"/>
  <c r="S24" i="4"/>
  <c r="S18" i="4"/>
  <c r="S9" i="4"/>
  <c r="S22" i="4"/>
  <c r="S20" i="4"/>
  <c r="S27" i="4"/>
  <c r="S34" i="4"/>
  <c r="S29" i="4"/>
  <c r="S14" i="3"/>
  <c r="H24" i="4"/>
  <c r="H18" i="4"/>
  <c r="H14" i="4"/>
  <c r="H15" i="4" s="1"/>
  <c r="H13" i="4"/>
  <c r="H10" i="4"/>
  <c r="H9" i="4"/>
  <c r="H34" i="4"/>
  <c r="H22" i="4"/>
  <c r="H27" i="4"/>
  <c r="H20" i="4"/>
  <c r="H29" i="4"/>
  <c r="I11" i="3"/>
  <c r="H16" i="3"/>
  <c r="H21" i="3"/>
  <c r="U22" i="4"/>
  <c r="U14" i="4"/>
  <c r="U15" i="4" s="1"/>
  <c r="U29" i="4"/>
  <c r="U18" i="4"/>
  <c r="U24" i="4"/>
  <c r="U20" i="4"/>
  <c r="U13" i="4"/>
  <c r="U9" i="4"/>
  <c r="U27" i="4"/>
  <c r="U34" i="4"/>
  <c r="M22" i="4"/>
  <c r="M14" i="4"/>
  <c r="M15" i="4" s="1"/>
  <c r="M29" i="4"/>
  <c r="M18" i="4"/>
  <c r="M13" i="4"/>
  <c r="M20" i="4"/>
  <c r="M24" i="4"/>
  <c r="M9" i="4"/>
  <c r="M27" i="4"/>
  <c r="M34" i="4"/>
  <c r="G8" i="4"/>
  <c r="C22" i="4"/>
  <c r="C20" i="4"/>
  <c r="C14" i="4"/>
  <c r="C15" i="4" s="1"/>
  <c r="C34" i="4"/>
  <c r="C18" i="4"/>
  <c r="C13" i="4"/>
  <c r="C24" i="4"/>
  <c r="C29" i="4"/>
  <c r="C27" i="4"/>
  <c r="G10" i="3"/>
  <c r="Q10" i="3"/>
  <c r="I16" i="3"/>
  <c r="T16" i="3"/>
  <c r="I21" i="3"/>
  <c r="O21" i="3"/>
  <c r="AE19" i="4"/>
  <c r="AE17" i="4"/>
  <c r="AE23" i="4"/>
  <c r="AE21" i="4"/>
  <c r="AE9" i="4"/>
  <c r="AE12" i="4"/>
  <c r="AE34" i="4"/>
  <c r="S9" i="3"/>
  <c r="J16" i="3"/>
  <c r="K8" i="4"/>
  <c r="M10" i="4" s="1"/>
  <c r="U9" i="3"/>
  <c r="U16" i="3"/>
  <c r="U14" i="3"/>
  <c r="AD21" i="3"/>
  <c r="AD10" i="3"/>
  <c r="J10" i="3"/>
  <c r="R10" i="3"/>
  <c r="J11" i="3"/>
  <c r="T11" i="3"/>
  <c r="Y15" i="3"/>
  <c r="E16" i="3"/>
  <c r="M16" i="3"/>
  <c r="AE18" i="3"/>
  <c r="S10" i="3"/>
  <c r="L11" i="3"/>
  <c r="V16" i="3"/>
  <c r="AD16" i="3"/>
  <c r="T10" i="3"/>
  <c r="AB10" i="3"/>
  <c r="C11" i="3"/>
  <c r="M11" i="3"/>
  <c r="W11" i="3"/>
  <c r="AB15" i="3"/>
  <c r="O16" i="3"/>
  <c r="AA21" i="3"/>
  <c r="AC13" i="3"/>
  <c r="AE13" i="3" s="1"/>
  <c r="E11" i="3"/>
  <c r="O11" i="3"/>
  <c r="C21" i="3"/>
  <c r="O10" i="3"/>
  <c r="AE26" i="4" l="1"/>
  <c r="AE29" i="4" s="1"/>
  <c r="N18" i="5"/>
  <c r="M23" i="5"/>
  <c r="M24" i="5" s="1"/>
  <c r="J44" i="5"/>
  <c r="J43" i="5"/>
  <c r="K42" i="5"/>
  <c r="M40" i="5"/>
  <c r="M42" i="5" s="1"/>
  <c r="L43" i="5"/>
  <c r="L44" i="5"/>
  <c r="N16" i="5"/>
  <c r="AE30" i="4"/>
  <c r="AE31" i="4"/>
  <c r="AE32" i="4" s="1"/>
  <c r="AE35" i="4"/>
  <c r="Z18" i="4"/>
  <c r="Z26" i="4"/>
  <c r="AE28" i="4" s="1"/>
  <c r="R31" i="4"/>
  <c r="R32" i="4" s="1"/>
  <c r="R35" i="4"/>
  <c r="R30" i="4"/>
  <c r="S30" i="4"/>
  <c r="S35" i="4"/>
  <c r="S31" i="4"/>
  <c r="S32" i="4" s="1"/>
  <c r="AC17" i="4"/>
  <c r="AC12" i="4"/>
  <c r="AC14" i="4" s="1"/>
  <c r="AC15" i="4" s="1"/>
  <c r="AC23" i="4"/>
  <c r="AC19" i="4"/>
  <c r="AC9" i="4"/>
  <c r="AC21" i="4"/>
  <c r="AC34" i="4"/>
  <c r="AD15" i="3"/>
  <c r="S21" i="3"/>
  <c r="T8" i="4"/>
  <c r="S11" i="3"/>
  <c r="O35" i="4"/>
  <c r="O31" i="4"/>
  <c r="O32" i="4" s="1"/>
  <c r="O30" i="4"/>
  <c r="X26" i="4"/>
  <c r="X18" i="4"/>
  <c r="F31" i="4"/>
  <c r="F32" i="4" s="1"/>
  <c r="F35" i="4"/>
  <c r="F30" i="4"/>
  <c r="H35" i="4"/>
  <c r="H31" i="4"/>
  <c r="H32" i="4" s="1"/>
  <c r="H30" i="4"/>
  <c r="U31" i="4"/>
  <c r="U32" i="4" s="1"/>
  <c r="U30" i="4"/>
  <c r="U35" i="4"/>
  <c r="X9" i="3"/>
  <c r="X15" i="3"/>
  <c r="X14" i="3"/>
  <c r="N14" i="4"/>
  <c r="N15" i="4" s="1"/>
  <c r="N20" i="4"/>
  <c r="N13" i="4"/>
  <c r="N24" i="4"/>
  <c r="N9" i="4"/>
  <c r="N22" i="4"/>
  <c r="N10" i="4"/>
  <c r="N18" i="4"/>
  <c r="N34" i="4"/>
  <c r="N29" i="4"/>
  <c r="N27" i="4"/>
  <c r="I35" i="4"/>
  <c r="I30" i="4"/>
  <c r="I31" i="4"/>
  <c r="I32" i="4" s="1"/>
  <c r="L8" i="4"/>
  <c r="K22" i="4"/>
  <c r="K14" i="4"/>
  <c r="K15" i="4" s="1"/>
  <c r="K24" i="4"/>
  <c r="K20" i="4"/>
  <c r="K13" i="4"/>
  <c r="K18" i="4"/>
  <c r="K10" i="4"/>
  <c r="K9" i="4"/>
  <c r="K29" i="4"/>
  <c r="K34" i="4"/>
  <c r="K27" i="4"/>
  <c r="C35" i="4"/>
  <c r="C30" i="4"/>
  <c r="C31" i="4"/>
  <c r="C32" i="4" s="1"/>
  <c r="E31" i="4"/>
  <c r="E32" i="4" s="1"/>
  <c r="E30" i="4"/>
  <c r="E35" i="4"/>
  <c r="AE14" i="4"/>
  <c r="AE15" i="4" s="1"/>
  <c r="G13" i="4"/>
  <c r="G14" i="4"/>
  <c r="G15" i="4" s="1"/>
  <c r="G18" i="4"/>
  <c r="G24" i="4"/>
  <c r="G22" i="4"/>
  <c r="G20" i="4"/>
  <c r="G27" i="4"/>
  <c r="G29" i="4"/>
  <c r="G34" i="4"/>
  <c r="Q8" i="4"/>
  <c r="J31" i="4"/>
  <c r="J32" i="4" s="1"/>
  <c r="J30" i="4"/>
  <c r="J35" i="4"/>
  <c r="AB8" i="4"/>
  <c r="AC10" i="4" s="1"/>
  <c r="AA10" i="3"/>
  <c r="AA11" i="3"/>
  <c r="AE27" i="4"/>
  <c r="P35" i="4"/>
  <c r="P30" i="4"/>
  <c r="P31" i="4"/>
  <c r="P32" i="4" s="1"/>
  <c r="M31" i="4"/>
  <c r="M32" i="4" s="1"/>
  <c r="M30" i="4"/>
  <c r="M35" i="4"/>
  <c r="P9" i="4"/>
  <c r="Z13" i="3"/>
  <c r="Z14" i="3" s="1"/>
  <c r="S16" i="3"/>
  <c r="D35" i="4"/>
  <c r="D31" i="4"/>
  <c r="D32" i="4" s="1"/>
  <c r="D30" i="4"/>
  <c r="W13" i="4"/>
  <c r="W20" i="4"/>
  <c r="W17" i="4"/>
  <c r="W10" i="4"/>
  <c r="W24" i="4"/>
  <c r="W22" i="4"/>
  <c r="W14" i="4"/>
  <c r="W15" i="4" s="1"/>
  <c r="W9" i="4"/>
  <c r="W34" i="4"/>
  <c r="AA16" i="3"/>
  <c r="AE19" i="3"/>
  <c r="AF18" i="3"/>
  <c r="AE14" i="3"/>
  <c r="AF13" i="3"/>
  <c r="AE9" i="3"/>
  <c r="AE16" i="3"/>
  <c r="Z16" i="3"/>
  <c r="Z9" i="3"/>
  <c r="U10" i="3"/>
  <c r="U21" i="3"/>
  <c r="AC9" i="3"/>
  <c r="AD8" i="4" s="1"/>
  <c r="AC15" i="3"/>
  <c r="AC16" i="3"/>
  <c r="M43" i="5" l="1"/>
  <c r="M44" i="5"/>
  <c r="N40" i="5"/>
  <c r="N42" i="5" s="1"/>
  <c r="O16" i="5"/>
  <c r="K44" i="5"/>
  <c r="K43" i="5"/>
  <c r="O18" i="5"/>
  <c r="N23" i="5"/>
  <c r="N24" i="5" s="1"/>
  <c r="Y8" i="4"/>
  <c r="X11" i="3"/>
  <c r="X10" i="3"/>
  <c r="Y11" i="3"/>
  <c r="X16" i="3"/>
  <c r="X21" i="3"/>
  <c r="T22" i="4"/>
  <c r="T20" i="4"/>
  <c r="T13" i="4"/>
  <c r="T18" i="4"/>
  <c r="T14" i="4"/>
  <c r="T15" i="4" s="1"/>
  <c r="T9" i="4"/>
  <c r="T10" i="4"/>
  <c r="T24" i="4"/>
  <c r="T27" i="4"/>
  <c r="T34" i="4"/>
  <c r="T29" i="4"/>
  <c r="V8" i="4"/>
  <c r="U10" i="4"/>
  <c r="AE21" i="3"/>
  <c r="AF8" i="4"/>
  <c r="P36" i="4"/>
  <c r="P39" i="4"/>
  <c r="P40" i="4" s="1"/>
  <c r="U39" i="4"/>
  <c r="U40" i="4" s="1"/>
  <c r="U36" i="4"/>
  <c r="AD19" i="4"/>
  <c r="AD23" i="4"/>
  <c r="AD9" i="4"/>
  <c r="AD12" i="4"/>
  <c r="AD14" i="4" s="1"/>
  <c r="AD15" i="4" s="1"/>
  <c r="AD10" i="4"/>
  <c r="AD21" i="4"/>
  <c r="AD17" i="4"/>
  <c r="AD34" i="4"/>
  <c r="AE10" i="4"/>
  <c r="M36" i="4"/>
  <c r="M39" i="4"/>
  <c r="M40" i="4" s="1"/>
  <c r="X29" i="4"/>
  <c r="X27" i="4"/>
  <c r="G35" i="4"/>
  <c r="G31" i="4"/>
  <c r="G32" i="4" s="1"/>
  <c r="G30" i="4"/>
  <c r="AE39" i="4"/>
  <c r="AE40" i="4" s="1"/>
  <c r="AE36" i="4"/>
  <c r="Z27" i="4"/>
  <c r="Z29" i="4"/>
  <c r="F39" i="4"/>
  <c r="F40" i="4" s="1"/>
  <c r="F36" i="4"/>
  <c r="C39" i="4"/>
  <c r="C36" i="4"/>
  <c r="AC26" i="4"/>
  <c r="R36" i="4"/>
  <c r="R39" i="4"/>
  <c r="R40" i="4" s="1"/>
  <c r="J39" i="4"/>
  <c r="J40" i="4" s="1"/>
  <c r="J36" i="4"/>
  <c r="N30" i="4"/>
  <c r="N35" i="4"/>
  <c r="N31" i="4"/>
  <c r="N32" i="4" s="1"/>
  <c r="Q9" i="4"/>
  <c r="Q14" i="4"/>
  <c r="Q15" i="4" s="1"/>
  <c r="Q13" i="4"/>
  <c r="Q18" i="4"/>
  <c r="Q22" i="4"/>
  <c r="Q20" i="4"/>
  <c r="Q27" i="4"/>
  <c r="Q24" i="4"/>
  <c r="Q29" i="4"/>
  <c r="Q34" i="4"/>
  <c r="S36" i="4"/>
  <c r="S39" i="4"/>
  <c r="S40" i="4" s="1"/>
  <c r="D36" i="4"/>
  <c r="D39" i="4"/>
  <c r="D40" i="4" s="1"/>
  <c r="L13" i="4"/>
  <c r="L14" i="4"/>
  <c r="L15" i="4" s="1"/>
  <c r="L9" i="4"/>
  <c r="L29" i="4"/>
  <c r="L24" i="4"/>
  <c r="L20" i="4"/>
  <c r="L18" i="4"/>
  <c r="L27" i="4"/>
  <c r="L22" i="4"/>
  <c r="L34" i="4"/>
  <c r="W18" i="4"/>
  <c r="W26" i="4"/>
  <c r="AB21" i="4"/>
  <c r="AB19" i="4"/>
  <c r="AB12" i="4"/>
  <c r="AB23" i="4"/>
  <c r="AB9" i="4"/>
  <c r="AB10" i="4"/>
  <c r="AB17" i="4"/>
  <c r="AF17" i="4" s="1"/>
  <c r="AF18" i="4" s="1"/>
  <c r="AB34" i="4"/>
  <c r="E36" i="4"/>
  <c r="E39" i="4"/>
  <c r="E40" i="4" s="1"/>
  <c r="K35" i="4"/>
  <c r="K31" i="4"/>
  <c r="K32" i="4" s="1"/>
  <c r="K30" i="4"/>
  <c r="I39" i="4"/>
  <c r="I40" i="4" s="1"/>
  <c r="I36" i="4"/>
  <c r="H36" i="4"/>
  <c r="H39" i="4"/>
  <c r="H40" i="4" s="1"/>
  <c r="O39" i="4"/>
  <c r="O40" i="4" s="1"/>
  <c r="O36" i="4"/>
  <c r="AF9" i="3"/>
  <c r="AG8" i="4" s="1"/>
  <c r="AG13" i="3"/>
  <c r="AG18" i="3"/>
  <c r="AE10" i="3"/>
  <c r="AC21" i="3"/>
  <c r="AC10" i="3"/>
  <c r="AC11" i="3"/>
  <c r="AD11" i="3"/>
  <c r="Z10" i="3"/>
  <c r="Z21" i="3"/>
  <c r="AD26" i="4" l="1"/>
  <c r="N43" i="5"/>
  <c r="N44" i="5"/>
  <c r="O23" i="5"/>
  <c r="Q18" i="5"/>
  <c r="P18" i="5"/>
  <c r="P16" i="5"/>
  <c r="O40" i="5"/>
  <c r="V14" i="4"/>
  <c r="V15" i="4" s="1"/>
  <c r="V13" i="4"/>
  <c r="V9" i="4"/>
  <c r="V18" i="4"/>
  <c r="V29" i="4"/>
  <c r="V27" i="4"/>
  <c r="V20" i="4"/>
  <c r="V22" i="4"/>
  <c r="V24" i="4"/>
  <c r="V34" i="4"/>
  <c r="K39" i="4"/>
  <c r="K40" i="4" s="1"/>
  <c r="K36" i="4"/>
  <c r="AD27" i="4"/>
  <c r="W27" i="4"/>
  <c r="W29" i="4"/>
  <c r="C40" i="4"/>
  <c r="AB26" i="4"/>
  <c r="AF12" i="4"/>
  <c r="AF14" i="4" s="1"/>
  <c r="AF15" i="4" s="1"/>
  <c r="G39" i="4"/>
  <c r="G40" i="4" s="1"/>
  <c r="G36" i="4"/>
  <c r="N36" i="4"/>
  <c r="N39" i="4"/>
  <c r="AC28" i="4"/>
  <c r="AC27" i="4"/>
  <c r="AC29" i="4"/>
  <c r="Z31" i="4"/>
  <c r="Z32" i="4" s="1"/>
  <c r="Z30" i="4"/>
  <c r="Z35" i="4"/>
  <c r="X31" i="4"/>
  <c r="X32" i="4" s="1"/>
  <c r="X35" i="4"/>
  <c r="X30" i="4"/>
  <c r="AG23" i="4"/>
  <c r="AG17" i="4"/>
  <c r="AG12" i="4"/>
  <c r="AG9" i="4"/>
  <c r="AG19" i="4"/>
  <c r="AG21" i="4"/>
  <c r="AG34" i="4"/>
  <c r="AF23" i="4"/>
  <c r="AF21" i="3"/>
  <c r="L35" i="4"/>
  <c r="L30" i="4"/>
  <c r="L31" i="4"/>
  <c r="L32" i="4" s="1"/>
  <c r="AF19" i="4"/>
  <c r="AF20" i="4" s="1"/>
  <c r="AD29" i="4"/>
  <c r="T35" i="4"/>
  <c r="T31" i="4"/>
  <c r="T32" i="4" s="1"/>
  <c r="T30" i="4"/>
  <c r="AF16" i="3"/>
  <c r="AB14" i="4"/>
  <c r="AB15" i="4" s="1"/>
  <c r="Q35" i="4"/>
  <c r="Q31" i="4"/>
  <c r="Q32" i="4" s="1"/>
  <c r="Q30" i="4"/>
  <c r="AF21" i="4"/>
  <c r="AF22" i="4" s="1"/>
  <c r="AF34" i="4"/>
  <c r="Y24" i="4"/>
  <c r="Y9" i="4"/>
  <c r="Y10" i="4"/>
  <c r="Y22" i="4"/>
  <c r="Y14" i="4"/>
  <c r="Y15" i="4" s="1"/>
  <c r="Y20" i="4"/>
  <c r="Y17" i="4"/>
  <c r="Y13" i="4"/>
  <c r="Y34" i="4"/>
  <c r="Z10" i="4"/>
  <c r="AA8" i="4"/>
  <c r="AF10" i="3"/>
  <c r="AH18" i="3"/>
  <c r="AG9" i="3"/>
  <c r="AH13" i="3"/>
  <c r="Q23" i="5" l="1"/>
  <c r="R18" i="5"/>
  <c r="Q16" i="5"/>
  <c r="O24" i="5"/>
  <c r="P24" i="5" s="1"/>
  <c r="P23" i="5"/>
  <c r="O42" i="5"/>
  <c r="P40" i="5"/>
  <c r="Q40" i="5"/>
  <c r="Q42" i="5" s="1"/>
  <c r="AA14" i="4"/>
  <c r="AA15" i="4" s="1"/>
  <c r="AA13" i="4"/>
  <c r="AA9" i="4"/>
  <c r="AA24" i="4"/>
  <c r="AA22" i="4"/>
  <c r="AA20" i="4"/>
  <c r="AA34" i="4"/>
  <c r="AF24" i="4"/>
  <c r="AB27" i="4"/>
  <c r="AB28" i="4"/>
  <c r="AB29" i="4"/>
  <c r="Q36" i="4"/>
  <c r="Q39" i="4"/>
  <c r="Q40" i="4" s="1"/>
  <c r="AD35" i="4"/>
  <c r="AD30" i="4"/>
  <c r="AD31" i="4"/>
  <c r="AD32" i="4" s="1"/>
  <c r="X39" i="4"/>
  <c r="X36" i="4"/>
  <c r="T39" i="4"/>
  <c r="T40" i="4" s="1"/>
  <c r="T36" i="4"/>
  <c r="AF9" i="4"/>
  <c r="AG26" i="4"/>
  <c r="W30" i="4"/>
  <c r="W35" i="4"/>
  <c r="W31" i="4"/>
  <c r="W32" i="4" s="1"/>
  <c r="AC35" i="4"/>
  <c r="AC30" i="4"/>
  <c r="AC31" i="4"/>
  <c r="AC32" i="4" s="1"/>
  <c r="AG16" i="3"/>
  <c r="AH8" i="4"/>
  <c r="AF26" i="4"/>
  <c r="AF13" i="4"/>
  <c r="V31" i="4"/>
  <c r="V32" i="4" s="1"/>
  <c r="V30" i="4"/>
  <c r="V35" i="4"/>
  <c r="N40" i="4"/>
  <c r="Z39" i="4"/>
  <c r="Z36" i="4"/>
  <c r="Y18" i="4"/>
  <c r="Y26" i="4"/>
  <c r="AA17" i="4"/>
  <c r="L36" i="4"/>
  <c r="L39" i="4"/>
  <c r="L40" i="4" s="1"/>
  <c r="AG14" i="4"/>
  <c r="AG15" i="4" s="1"/>
  <c r="AI13" i="3"/>
  <c r="AH9" i="3"/>
  <c r="AI8" i="4" s="1"/>
  <c r="AG10" i="3"/>
  <c r="AG21" i="3"/>
  <c r="AH21" i="3"/>
  <c r="AI18" i="3"/>
  <c r="O44" i="5" l="1"/>
  <c r="P42" i="5"/>
  <c r="O43" i="5"/>
  <c r="R16" i="5"/>
  <c r="R40" i="5"/>
  <c r="R42" i="5" s="1"/>
  <c r="S18" i="5"/>
  <c r="R23" i="5"/>
  <c r="Q24" i="5"/>
  <c r="Q44" i="5" s="1"/>
  <c r="AI17" i="4"/>
  <c r="AI12" i="4"/>
  <c r="AI19" i="4"/>
  <c r="AI23" i="4"/>
  <c r="AI9" i="4"/>
  <c r="AI21" i="4"/>
  <c r="AI34" i="4"/>
  <c r="AH16" i="3"/>
  <c r="AA18" i="4"/>
  <c r="AA26" i="4"/>
  <c r="AF28" i="4" s="1"/>
  <c r="AH21" i="4"/>
  <c r="AH17" i="4"/>
  <c r="AH19" i="4"/>
  <c r="AH12" i="4"/>
  <c r="AH14" i="4" s="1"/>
  <c r="AH15" i="4" s="1"/>
  <c r="AH23" i="4"/>
  <c r="AH9" i="4"/>
  <c r="AH34" i="4"/>
  <c r="Y27" i="4"/>
  <c r="Y29" i="4"/>
  <c r="AD28" i="4"/>
  <c r="X40" i="4"/>
  <c r="AD36" i="4"/>
  <c r="AD39" i="4"/>
  <c r="AD40" i="4" s="1"/>
  <c r="Z40" i="4"/>
  <c r="AF27" i="4"/>
  <c r="AF29" i="4"/>
  <c r="W36" i="4"/>
  <c r="W39" i="4"/>
  <c r="AG29" i="4"/>
  <c r="AG27" i="4"/>
  <c r="AG28" i="4"/>
  <c r="V39" i="4"/>
  <c r="V40" i="4" s="1"/>
  <c r="V36" i="4"/>
  <c r="AC36" i="4"/>
  <c r="AC39" i="4"/>
  <c r="AB30" i="4"/>
  <c r="AB35" i="4"/>
  <c r="AB31" i="4"/>
  <c r="AB32" i="4" s="1"/>
  <c r="AH10" i="3"/>
  <c r="AI9" i="3"/>
  <c r="AJ8" i="4" s="1"/>
  <c r="AI16" i="3"/>
  <c r="R24" i="5" l="1"/>
  <c r="R44" i="5" s="1"/>
  <c r="Q43" i="5"/>
  <c r="T18" i="5"/>
  <c r="S23" i="5"/>
  <c r="S40" i="5"/>
  <c r="S42" i="5" s="1"/>
  <c r="S16" i="5"/>
  <c r="P44" i="5"/>
  <c r="P43" i="5"/>
  <c r="AI26" i="4"/>
  <c r="AJ21" i="4"/>
  <c r="AJ9" i="4"/>
  <c r="AJ23" i="4"/>
  <c r="AJ19" i="4"/>
  <c r="AJ17" i="4"/>
  <c r="AJ12" i="4"/>
  <c r="AJ34" i="4"/>
  <c r="AB36" i="4"/>
  <c r="AB39" i="4"/>
  <c r="AG35" i="4"/>
  <c r="AG30" i="4"/>
  <c r="AG31" i="4"/>
  <c r="AG32" i="4" s="1"/>
  <c r="AF35" i="4"/>
  <c r="AF30" i="4"/>
  <c r="AF31" i="4"/>
  <c r="AF32" i="4" s="1"/>
  <c r="AA27" i="4"/>
  <c r="AA29" i="4"/>
  <c r="AH26" i="4"/>
  <c r="AC40" i="4"/>
  <c r="Y30" i="4"/>
  <c r="Y31" i="4"/>
  <c r="Y32" i="4" s="1"/>
  <c r="Y35" i="4"/>
  <c r="AI14" i="4"/>
  <c r="AI15" i="4" s="1"/>
  <c r="W40" i="4"/>
  <c r="AI10" i="3"/>
  <c r="AI21" i="3"/>
  <c r="R43" i="5" l="1"/>
  <c r="AJ26" i="4"/>
  <c r="T40" i="5"/>
  <c r="T16" i="5"/>
  <c r="S24" i="5"/>
  <c r="S44" i="5" s="1"/>
  <c r="V18" i="5"/>
  <c r="U18" i="5"/>
  <c r="T23" i="5"/>
  <c r="AF37" i="4"/>
  <c r="AJ29" i="4"/>
  <c r="AJ28" i="4"/>
  <c r="AJ27" i="4"/>
  <c r="AF36" i="4"/>
  <c r="AB40" i="4"/>
  <c r="AI28" i="4"/>
  <c r="AI27" i="4"/>
  <c r="AI29" i="4"/>
  <c r="AG36" i="4"/>
  <c r="AG39" i="4"/>
  <c r="AG40" i="4" s="1"/>
  <c r="AH28" i="4"/>
  <c r="AH27" i="4"/>
  <c r="AH29" i="4"/>
  <c r="AJ14" i="4"/>
  <c r="AJ15" i="4" s="1"/>
  <c r="Y36" i="4"/>
  <c r="Y39" i="4"/>
  <c r="AA35" i="4"/>
  <c r="AA30" i="4"/>
  <c r="AA31" i="4"/>
  <c r="AA32" i="4" s="1"/>
  <c r="U16" i="5" l="1"/>
  <c r="S43" i="5"/>
  <c r="T24" i="5"/>
  <c r="U24" i="5" s="1"/>
  <c r="U23" i="5"/>
  <c r="T42" i="5"/>
  <c r="U40" i="5"/>
  <c r="W18" i="5"/>
  <c r="V23" i="5"/>
  <c r="V40" i="5"/>
  <c r="V42" i="5" s="1"/>
  <c r="AF39" i="4"/>
  <c r="AF40" i="4" s="1"/>
  <c r="AA36" i="4"/>
  <c r="AI30" i="4"/>
  <c r="AI31" i="4"/>
  <c r="AI32" i="4" s="1"/>
  <c r="AI35" i="4"/>
  <c r="Y40" i="4"/>
  <c r="AA39" i="4"/>
  <c r="AA40" i="4" s="1"/>
  <c r="AH31" i="4"/>
  <c r="AH32" i="4" s="1"/>
  <c r="AH35" i="4"/>
  <c r="AH30" i="4"/>
  <c r="AJ35" i="4"/>
  <c r="AJ31" i="4"/>
  <c r="AJ32" i="4" s="1"/>
  <c r="AJ30" i="4"/>
  <c r="V16" i="5" l="1"/>
  <c r="V24" i="5" s="1"/>
  <c r="W23" i="5"/>
  <c r="X18" i="5"/>
  <c r="T43" i="5"/>
  <c r="U42" i="5"/>
  <c r="T44" i="5"/>
  <c r="W40" i="5"/>
  <c r="W42" i="5" s="1"/>
  <c r="AH36" i="4"/>
  <c r="AH39" i="4"/>
  <c r="AH40" i="4" s="1"/>
  <c r="AI39" i="4"/>
  <c r="AI40" i="4" s="1"/>
  <c r="AI36" i="4"/>
  <c r="AJ39" i="4"/>
  <c r="AJ40" i="4" s="1"/>
  <c r="AJ36" i="4"/>
  <c r="V43" i="5" l="1"/>
  <c r="V44" i="5"/>
  <c r="U43" i="5"/>
  <c r="U44" i="5"/>
  <c r="W16" i="5"/>
  <c r="W24" i="5" s="1"/>
  <c r="X23" i="5"/>
  <c r="Y18" i="5"/>
  <c r="X40" i="5"/>
  <c r="X42" i="5" s="1"/>
  <c r="W43" i="5" l="1"/>
  <c r="W44" i="5"/>
  <c r="Y40" i="5"/>
  <c r="Y23" i="5"/>
  <c r="AA18" i="5"/>
  <c r="Z18" i="5"/>
  <c r="X16" i="5"/>
  <c r="X24" i="5" s="1"/>
  <c r="X44" i="5" l="1"/>
  <c r="X43" i="5"/>
  <c r="Z23" i="5"/>
  <c r="Z40" i="5"/>
  <c r="Y42" i="5"/>
  <c r="AA40" i="5"/>
  <c r="AA42" i="5" s="1"/>
  <c r="Y16" i="5"/>
  <c r="Y24" i="5" s="1"/>
  <c r="Z24" i="5" s="1"/>
  <c r="AB18" i="5"/>
  <c r="AA23" i="5"/>
  <c r="AB40" i="5" l="1"/>
  <c r="AB42" i="5" s="1"/>
  <c r="Y44" i="5"/>
  <c r="Y43" i="5"/>
  <c r="Z42" i="5"/>
  <c r="AC18" i="5"/>
  <c r="AB23" i="5"/>
  <c r="Z16" i="5"/>
  <c r="AC40" i="5" l="1"/>
  <c r="AC42" i="5" s="1"/>
  <c r="Z44" i="5"/>
  <c r="Z43" i="5"/>
  <c r="AD18" i="5"/>
  <c r="AC23" i="5"/>
  <c r="AA16" i="5"/>
  <c r="AA24" i="5" s="1"/>
  <c r="AB16" i="5" l="1"/>
  <c r="AB24" i="5" s="1"/>
  <c r="AE18" i="5"/>
  <c r="AD23" i="5"/>
  <c r="AF18" i="5"/>
  <c r="AD40" i="5"/>
  <c r="AA44" i="5"/>
  <c r="AA43" i="5"/>
  <c r="AF23" i="5" l="1"/>
  <c r="AG18" i="5"/>
  <c r="AB43" i="5"/>
  <c r="AB44" i="5"/>
  <c r="AE23" i="5"/>
  <c r="AF40" i="5"/>
  <c r="AF42" i="5" s="1"/>
  <c r="AD42" i="5"/>
  <c r="AE40" i="5"/>
  <c r="AC16" i="5"/>
  <c r="AC24" i="5" s="1"/>
  <c r="AC44" i="5" l="1"/>
  <c r="AC43" i="5"/>
  <c r="AG40" i="5"/>
  <c r="AG42" i="5" s="1"/>
  <c r="AD16" i="5"/>
  <c r="AD24" i="5" s="1"/>
  <c r="AE24" i="5" s="1"/>
  <c r="AG23" i="5"/>
  <c r="AH18" i="5"/>
  <c r="AE42" i="5"/>
  <c r="AI40" i="5" l="1"/>
  <c r="AI42" i="5" s="1"/>
  <c r="AH40" i="5"/>
  <c r="AH42" i="5" s="1"/>
  <c r="AD43" i="5"/>
  <c r="AD44" i="5"/>
  <c r="AE44" i="5"/>
  <c r="AE43" i="5"/>
  <c r="AE16" i="5"/>
  <c r="AI18" i="5"/>
  <c r="AI23" i="5" s="1"/>
  <c r="AH23" i="5"/>
  <c r="AF16" i="5" l="1"/>
  <c r="AF24" i="5" s="1"/>
  <c r="AF44" i="5" l="1"/>
  <c r="AF43" i="5"/>
  <c r="AG16" i="5"/>
  <c r="AG24" i="5" s="1"/>
  <c r="AG43" i="5" l="1"/>
  <c r="AG44" i="5"/>
  <c r="AH16" i="5"/>
  <c r="AH24" i="5" s="1"/>
  <c r="AI16" i="5"/>
  <c r="AI24" i="5" s="1"/>
  <c r="AI43" i="5" l="1"/>
  <c r="AI44" i="5"/>
  <c r="AH44" i="5"/>
  <c r="AH43" i="5"/>
</calcChain>
</file>

<file path=xl/sharedStrings.xml><?xml version="1.0" encoding="utf-8"?>
<sst xmlns="http://schemas.openxmlformats.org/spreadsheetml/2006/main" count="236" uniqueCount="170">
  <si>
    <t xml:space="preserve">        $ Values are in $'000s</t>
  </si>
  <si>
    <t xml:space="preserve">                       Blue = hard coded (not calculated)</t>
  </si>
  <si>
    <t xml:space="preserve">                       Green = from other tabs</t>
  </si>
  <si>
    <t>FY</t>
  </si>
  <si>
    <t>FYE</t>
  </si>
  <si>
    <t>Revenue</t>
  </si>
  <si>
    <t xml:space="preserve">  Balance Sheet</t>
  </si>
  <si>
    <t>Balance Sheet (in '000s).</t>
  </si>
  <si>
    <t>Current assets</t>
  </si>
  <si>
    <t xml:space="preserve"> Cash and cash equivalents</t>
  </si>
  <si>
    <t xml:space="preserve">  Short-term investments </t>
  </si>
  <si>
    <t xml:space="preserve">  Accounts receivable</t>
  </si>
  <si>
    <t>Accounts Receivable as a % of revenue</t>
  </si>
  <si>
    <t xml:space="preserve">  Inventory</t>
  </si>
  <si>
    <t>Inventory as a % of revenue</t>
  </si>
  <si>
    <t>Total Current Assets</t>
  </si>
  <si>
    <t>Long Term Assets</t>
  </si>
  <si>
    <t>Total Long Term Assets</t>
  </si>
  <si>
    <t>TOTAL ASSETS</t>
  </si>
  <si>
    <t>Current liabilities</t>
  </si>
  <si>
    <t xml:space="preserve">  Accounts payable</t>
  </si>
  <si>
    <t>Accounts Payable as a % of revenue</t>
  </si>
  <si>
    <t xml:space="preserve">  Short-term debt</t>
  </si>
  <si>
    <t>Total Current Liabilities</t>
  </si>
  <si>
    <t>Long Term Liabilities</t>
  </si>
  <si>
    <t>Long-term debt</t>
  </si>
  <si>
    <t>Total Long Term Liabilities</t>
  </si>
  <si>
    <t>TOTAL LIABILITIES</t>
  </si>
  <si>
    <t>Retained Earnings</t>
  </si>
  <si>
    <t>Common Shares</t>
  </si>
  <si>
    <t>TOTAL SHAREHOLDER'S EQUITY</t>
  </si>
  <si>
    <t>TOTAL LIABILITIES AND SHAREHOLDERS' EQUITY</t>
  </si>
  <si>
    <t>Do Assets = Liabilities + Equity?</t>
  </si>
  <si>
    <t>Income Statement (Revenue from Previous Tab)</t>
  </si>
  <si>
    <t xml:space="preserve">         $ Values are in $'000s</t>
  </si>
  <si>
    <t>Blue = hard coded (not calculated)</t>
  </si>
  <si>
    <t xml:space="preserve"> Green = from previous tab: "Revenue (More Detail)"</t>
  </si>
  <si>
    <t>YOY change</t>
  </si>
  <si>
    <t>QOQ change</t>
  </si>
  <si>
    <t>COGS</t>
  </si>
  <si>
    <t>% of sales</t>
  </si>
  <si>
    <t>Gross profit</t>
  </si>
  <si>
    <t>Gross margin</t>
  </si>
  <si>
    <t xml:space="preserve">Sales and marketing </t>
  </si>
  <si>
    <t>Product development</t>
  </si>
  <si>
    <t>General and administrative</t>
  </si>
  <si>
    <t xml:space="preserve">Depreciation </t>
  </si>
  <si>
    <t>Total expenses</t>
  </si>
  <si>
    <t>Yoy Change</t>
  </si>
  <si>
    <t>Income (loss) from operations</t>
  </si>
  <si>
    <t>EBITDA</t>
  </si>
  <si>
    <t>GAAP Shares</t>
  </si>
  <si>
    <t>Revenue Breakdown (feeds into the Income Statement on the next tab)</t>
  </si>
  <si>
    <t xml:space="preserve">                                   Blue = hard coded (not calculated)</t>
  </si>
  <si>
    <t xml:space="preserve">                                   SOURCE OF ALL DATA: EARNINGS PRESS RELEASE FROM  IR WEBSITE OR SEC.GOV FILINGS</t>
  </si>
  <si>
    <t>Fye</t>
  </si>
  <si>
    <t>Sector Breakdown of Revenue</t>
  </si>
  <si>
    <t xml:space="preserve"> </t>
  </si>
  <si>
    <t>Total Revenue</t>
  </si>
  <si>
    <t>% of total</t>
  </si>
  <si>
    <t>1Q19A</t>
  </si>
  <si>
    <t>2Q19A</t>
  </si>
  <si>
    <t>3Q19A</t>
  </si>
  <si>
    <t>4Q19A</t>
  </si>
  <si>
    <t>REVENUE Product #1</t>
  </si>
  <si>
    <t>REVENUE Product #2</t>
  </si>
  <si>
    <t>Net income</t>
  </si>
  <si>
    <t>Profit before tax</t>
  </si>
  <si>
    <t>Income tax</t>
  </si>
  <si>
    <t>Depreciation</t>
  </si>
  <si>
    <t>Net fixed assets</t>
  </si>
  <si>
    <t>Shares Outstanding</t>
  </si>
  <si>
    <t>Current Price</t>
  </si>
  <si>
    <t>Fiscal Year End</t>
  </si>
  <si>
    <t>Transaction Date</t>
  </si>
  <si>
    <t>Perpetural Growth Rate</t>
  </si>
  <si>
    <t>Assumptions</t>
  </si>
  <si>
    <t>DCF Model</t>
  </si>
  <si>
    <t>Risk Free Rate</t>
  </si>
  <si>
    <t>Market Return</t>
  </si>
  <si>
    <t>Interest expense</t>
  </si>
  <si>
    <t>Levered B</t>
  </si>
  <si>
    <t>Gearing</t>
  </si>
  <si>
    <t>Gross value*</t>
  </si>
  <si>
    <t>* including FA disposal</t>
  </si>
  <si>
    <t>Competitors</t>
  </si>
  <si>
    <t>Competitor A</t>
  </si>
  <si>
    <t>Competitor B</t>
  </si>
  <si>
    <t>Competitor C</t>
  </si>
  <si>
    <t>Q) Find the value of the company.</t>
  </si>
  <si>
    <t>Ans:</t>
  </si>
  <si>
    <t>Tax Rate</t>
  </si>
  <si>
    <t>Means that D is 40% and E is 60%</t>
  </si>
  <si>
    <t>Means that D is 55% and E is 45%</t>
  </si>
  <si>
    <t>Means tht D is 50% and E is 50%</t>
  </si>
  <si>
    <t>Unlevered Beta</t>
  </si>
  <si>
    <t>(using Hamada Eq)</t>
  </si>
  <si>
    <t>Average</t>
  </si>
  <si>
    <t>Step 1: Find the Tax rate of each y in IS using the formula:</t>
  </si>
  <si>
    <t>Step 3: Find the Unlevered Beta using the Hamada Equation.</t>
  </si>
  <si>
    <t>Step 4: Find the average of the three Unlevered Beta.</t>
  </si>
  <si>
    <t>Here, we have levered debt. However, in cases where we have no debt, then it will be unlevered beta.</t>
  </si>
  <si>
    <t xml:space="preserve">For only unlevered beta: 1) Unlever all beta 2) Find their average </t>
  </si>
  <si>
    <t>For with levered beta: 1) Use Hamada Equation 2) You'll find your replaced beta</t>
  </si>
  <si>
    <t xml:space="preserve">Levered beta is the equity beta. </t>
  </si>
  <si>
    <t>D/E ratio is one form of gearing ratio.</t>
  </si>
  <si>
    <t xml:space="preserve">D/E </t>
  </si>
  <si>
    <t>Re-levering the average Unlevered beta calculated using our company's capital structure of 2025, as the transation y given here is 2025.</t>
  </si>
  <si>
    <t>Step 5: Find the D/E ratio in BS for all years.</t>
  </si>
  <si>
    <t xml:space="preserve">We can't take the average of levered betas because each company has different debt levels. </t>
  </si>
  <si>
    <t>Instead, we unlever their betas, average the unlevered betas, and then re-lever using our unlevered beta and our projected debt-to-equity ratio for 2025</t>
  </si>
  <si>
    <t>Company Beta:</t>
  </si>
  <si>
    <t xml:space="preserve">Step 6: Re-lever the average Unlevered beta, found in Step 4, using the D/E ratio of our company in 2025. </t>
  </si>
  <si>
    <t>This is your company's levered Beta now.</t>
  </si>
  <si>
    <t>Step 2: Take the tax rate of 2025, since here the transaction date is 2025.</t>
  </si>
  <si>
    <t>CAPM:</t>
  </si>
  <si>
    <t>Interest:</t>
  </si>
  <si>
    <t>Debt:</t>
  </si>
  <si>
    <t>Rd:</t>
  </si>
  <si>
    <t>So, Re:</t>
  </si>
  <si>
    <t>(i% is interest/debt)</t>
  </si>
  <si>
    <t>Step 7: CAPM Calculation for finding Re</t>
  </si>
  <si>
    <t>Equity:</t>
  </si>
  <si>
    <t>Total:</t>
  </si>
  <si>
    <t>WACC:</t>
  </si>
  <si>
    <t>Step 8: Write the Re from CAPM, the interest from 2025, the debt from 2025, and the calculated Rd.</t>
  </si>
  <si>
    <t>Step 9: Calculate WACC</t>
  </si>
  <si>
    <t>Discounted CFs</t>
  </si>
  <si>
    <t>Entry</t>
  </si>
  <si>
    <t>2026e</t>
  </si>
  <si>
    <t>2027e</t>
  </si>
  <si>
    <t>2028e</t>
  </si>
  <si>
    <t>2029e</t>
  </si>
  <si>
    <t>2030e</t>
  </si>
  <si>
    <t>Date</t>
  </si>
  <si>
    <t>31.12.2025</t>
  </si>
  <si>
    <t>31.12.2026</t>
  </si>
  <si>
    <t>31.12.2027</t>
  </si>
  <si>
    <t>31.12.2028</t>
  </si>
  <si>
    <t>31.12.2029</t>
  </si>
  <si>
    <t>31.12.2030</t>
  </si>
  <si>
    <t>Time Periods</t>
  </si>
  <si>
    <t>(+) D&amp;A</t>
  </si>
  <si>
    <t>(-) Capex</t>
  </si>
  <si>
    <t>(-) Change in WCN</t>
  </si>
  <si>
    <t>(=) FCF</t>
  </si>
  <si>
    <t>Step 10: Create the Discounted CFs table.</t>
  </si>
  <si>
    <t>EBIT (income from operations)</t>
  </si>
  <si>
    <t>Net Fixed Assets</t>
  </si>
  <si>
    <t>Capex</t>
  </si>
  <si>
    <t>WCN</t>
  </si>
  <si>
    <t>Change in WCN</t>
  </si>
  <si>
    <t>Step 11: Create a new sheet to calculate Capex and then WCN</t>
  </si>
  <si>
    <t>Step 12: Calculate the FCFs.</t>
  </si>
  <si>
    <t>Step 13: Calulate using DCF model.</t>
  </si>
  <si>
    <t>Discounted FCF</t>
  </si>
  <si>
    <t>Terminal Value</t>
  </si>
  <si>
    <t>Discounted TV</t>
  </si>
  <si>
    <t>Total</t>
  </si>
  <si>
    <t>Enterprise Value:</t>
  </si>
  <si>
    <t>Step 14: Sum the FCFs and TV to get the EV</t>
  </si>
  <si>
    <t>(+) Cash</t>
  </si>
  <si>
    <t>(-) Debt</t>
  </si>
  <si>
    <t xml:space="preserve">(=) Equity Value </t>
  </si>
  <si>
    <t>Equity Value/Share</t>
  </si>
  <si>
    <t>(share price is overvalued)</t>
  </si>
  <si>
    <t xml:space="preserve">Step 15: Calculate the Equity Value </t>
  </si>
  <si>
    <t xml:space="preserve">Step 16: Calculate the Equity value per shares outstanding </t>
  </si>
  <si>
    <t>Disposals</t>
  </si>
  <si>
    <t>Gross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</si>
</sst>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3">
    <numFmt numFmtId="44" formatCode="_-&quot;€&quot;* #,##0.00_-;\-&quot;€&quot;* #,##0.00_-;_-&quot;€&quot;* &quot;-&quot;??_-;_-@_-"/>
    <numFmt numFmtId="43" formatCode="_-* #,##0.00_-;\-* #,##0.00_-;_-* &quot;-&quot;??_-;_-@_-"/>
    <numFmt numFmtId="164" formatCode="&quot;$&quot;#,##0_);\(&quot;$&quot;#,##0\)"/>
    <numFmt numFmtId="165" formatCode="_(&quot;$&quot;* #,##0_);_(&quot;$&quot;* \(#,##0\);_(&quot;$&quot;* &quot;-&quot;_);_(@_)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#,##0.0_);\(#,##0.0\)"/>
    <numFmt numFmtId="169" formatCode="#,##0.000_);\(#,##0.000\)"/>
    <numFmt numFmtId="170" formatCode="0.0%_);\(0.0%\);0.0%_);@_)"/>
    <numFmt numFmtId="171" formatCode="_(&quot;$&quot;* #,##0_);_(&quot;$&quot;* \(#,##0\);_(&quot;$&quot;* &quot;-&quot;??_);_(@_)"/>
    <numFmt numFmtId="172" formatCode="0.0%"/>
    <numFmt numFmtId="173" formatCode="_(* #,##0_);_(* \(#,##0\);_(* &quot;-&quot;??_);_(@_)"/>
    <numFmt numFmtId="174" formatCode="0.00_);\(0.00\)"/>
    <numFmt numFmtId="175" formatCode="0.000_);\(0.000\)"/>
    <numFmt numFmtId="176" formatCode="_(* #,##0.00000_);_(* \(#,##0.00000\);_(* &quot;-&quot;??_);_(@_)"/>
    <numFmt numFmtId="177" formatCode="#,##0.0000000_);\(#,##0.0000000\)"/>
    <numFmt numFmtId="178" formatCode="#,##0.00000_);\(#,##0.00000\)"/>
    <numFmt numFmtId="179" formatCode="#,##0.000"/>
    <numFmt numFmtId="180" formatCode="_(&quot;$&quot;* #,##0.000_);_(&quot;$&quot;* \(#,##0.000\);_(&quot;$&quot;* &quot;-&quot;??_);_(@_)"/>
    <numFmt numFmtId="181" formatCode="_(&quot;$&quot;* #,##0.0_);_(&quot;$&quot;* \(#,##0.0\);_(&quot;$&quot;* &quot;-&quot;_);_(@_)"/>
    <numFmt numFmtId="182" formatCode="#,##0.0_);\(#,##0.0\);#,##0.0_);@_)"/>
    <numFmt numFmtId="183" formatCode="_(* #,##0.0_);_(* \(#,##0.0\);_(* &quot;-&quot;??_);_(@_)"/>
    <numFmt numFmtId="184" formatCode="#,##0_);\(#,##0\);#,##0_);@_)"/>
    <numFmt numFmtId="185" formatCode="_-* #,##0_-;\(#,##0\)_-;_-* &quot;-&quot;_-;_-@_-"/>
    <numFmt numFmtId="186" formatCode="_-* #,##0_-;\-* #,##0_-;_-* &quot;-&quot;??_-;_-@_-"/>
    <numFmt numFmtId="187" formatCode="_-* #,##0.00\ _€_-;\-* #,##0.00\ _€_-;_-* &quot;-&quot;??\ _€_-;_-@_-"/>
    <numFmt numFmtId="188" formatCode="#,##0.0"/>
    <numFmt numFmtId="189" formatCode="_-* #,##0.0_-;\(#,##0.0\)_-;_-* &quot;-&quot;_-;_-@_-"/>
    <numFmt numFmtId="190" formatCode="_-* #,##0.00_-;\(#,##0.00\)_-;_-* &quot;-&quot;_-;_-@_-"/>
    <numFmt numFmtId="191" formatCode="#,##0.0;\-#,##0.0"/>
    <numFmt numFmtId="192" formatCode="0.0"/>
    <numFmt numFmtId="193" formatCode="_-&quot;€&quot;* #,##0_-;\-&quot;€&quot;* #,##0_-;_-&quot;€&quot;* &quot;-&quot;??_-;_-@_-"/>
    <numFmt numFmtId="194" formatCode="0.000%"/>
  </numFmts>
  <fonts count="50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Calibri"/>
      <family val="2"/>
      <scheme val="minor"/>
    </font>
    <font>
      <sz val="10"/>
      <name val="Calibri"/>
      <family val="2"/>
      <scheme val="minor"/>
    </font>
    <font>
      <b/>
      <sz val="10"/>
      <color rgb="FF0000FF"/>
      <name val="Calibri"/>
      <family val="2"/>
      <scheme val="minor"/>
    </font>
    <font>
      <b/>
      <sz val="10"/>
      <color rgb="FF008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b/>
      <u/>
      <sz val="10"/>
      <name val="Calibri"/>
      <family val="2"/>
      <scheme val="minor"/>
    </font>
    <font>
      <sz val="10"/>
      <color rgb="FF007434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indexed="10"/>
      <name val="Calibri"/>
      <family val="2"/>
      <scheme val="minor"/>
    </font>
    <font>
      <sz val="10"/>
      <color indexed="10"/>
      <name val="Calibri"/>
      <family val="2"/>
      <scheme val="minor"/>
    </font>
    <font>
      <i/>
      <sz val="10"/>
      <name val="Calibri"/>
      <family val="2"/>
      <scheme val="minor"/>
    </font>
    <font>
      <sz val="10"/>
      <color indexed="12"/>
      <name val="Calibri"/>
      <family val="2"/>
      <scheme val="minor"/>
    </font>
    <font>
      <sz val="10"/>
      <color rgb="FF0000FF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theme="2" tint="-0.499984740745262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00800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0"/>
      <color theme="2" tint="-0.499984740745262"/>
      <name val="Calibri"/>
      <family val="2"/>
      <scheme val="minor"/>
    </font>
    <font>
      <b/>
      <sz val="10"/>
      <color rgb="FF00B050"/>
      <name val="Calibri"/>
      <family val="2"/>
      <scheme val="minor"/>
    </font>
    <font>
      <sz val="10"/>
      <color rgb="FF00B050"/>
      <name val="Calibri"/>
      <family val="2"/>
      <scheme val="minor"/>
    </font>
    <font>
      <b/>
      <sz val="10"/>
      <color rgb="FFC00000"/>
      <name val="Calibri"/>
      <family val="2"/>
      <scheme val="minor"/>
    </font>
    <font>
      <i/>
      <sz val="10"/>
      <color rgb="FF0000FF"/>
      <name val="Calibri"/>
      <family val="2"/>
      <scheme val="minor"/>
    </font>
    <font>
      <sz val="12"/>
      <color theme="1"/>
      <name val="Arial Narrow"/>
      <family val="2"/>
    </font>
    <font>
      <sz val="10"/>
      <color theme="1"/>
      <name val="Open Sans"/>
      <family val="2"/>
    </font>
    <font>
      <b/>
      <sz val="10"/>
      <color theme="1"/>
      <name val="Open Sans"/>
      <family val="2"/>
    </font>
    <font>
      <sz val="10"/>
      <color rgb="FF0000FF"/>
      <name val="Open Sans"/>
      <family val="2"/>
    </font>
    <font>
      <sz val="10"/>
      <name val="Open Sans"/>
      <family val="2"/>
    </font>
    <font>
      <i/>
      <sz val="10"/>
      <color theme="1"/>
      <name val="Open Sans"/>
      <family val="2"/>
    </font>
    <font>
      <b/>
      <sz val="10"/>
      <name val="Open Sans"/>
      <family val="2"/>
    </font>
    <font>
      <sz val="12"/>
      <color theme="1"/>
      <name val="Open Sans"/>
      <family val="2"/>
    </font>
    <font>
      <b/>
      <sz val="11"/>
      <color theme="0"/>
      <name val="Open Sans"/>
      <family val="2"/>
    </font>
    <font>
      <b/>
      <sz val="10"/>
      <color theme="0"/>
      <name val="Open Sans"/>
      <family val="2"/>
    </font>
    <font>
      <sz val="10"/>
      <color theme="0"/>
      <name val="Calibri"/>
      <family val="2"/>
      <scheme val="minor"/>
    </font>
    <font>
      <b/>
      <i/>
      <sz val="10"/>
      <name val="Calibri"/>
      <family val="2"/>
      <scheme val="minor"/>
    </font>
    <font>
      <b/>
      <i/>
      <sz val="10"/>
      <color rgb="FF00B050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1"/>
      <name val="Open Sans Regular"/>
    </font>
    <font>
      <b/>
      <sz val="12"/>
      <color theme="1"/>
      <name val="Arial Narrow"/>
      <family val="2"/>
    </font>
    <font>
      <b/>
      <sz val="10"/>
      <color theme="1"/>
      <name val="Open Sans"/>
    </font>
  </fonts>
  <fills count="9">
    <fill>
      <patternFill patternType="none"/>
    </fill>
    <fill>
      <patternFill patternType="gray125"/>
    </fill>
    <fill>
      <patternFill patternType="solid">
        <fgColor rgb="FFD1FDFC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44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 style="medium">
        <color auto="1"/>
      </right>
      <top style="double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4">
    <xf numFmtId="0" fontId="0" fillId="0" borderId="0"/>
    <xf numFmtId="0" fontId="2" fillId="0" borderId="0">
      <alignment vertical="top"/>
    </xf>
    <xf numFmtId="0" fontId="2" fillId="0" borderId="0"/>
    <xf numFmtId="9" fontId="7" fillId="0" borderId="0" applyFont="0" applyFill="0" applyBorder="0" applyAlignment="0" applyProtection="0"/>
    <xf numFmtId="0" fontId="2" fillId="0" borderId="0"/>
    <xf numFmtId="166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7" fillId="0" borderId="0" applyFont="0" applyFill="0" applyBorder="0" applyAlignment="0" applyProtection="0"/>
    <xf numFmtId="167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4" fontId="45" fillId="0" borderId="0" applyFont="0" applyFill="0" applyBorder="0" applyAlignment="0" applyProtection="0"/>
    <xf numFmtId="9" fontId="45" fillId="0" borderId="0" applyFont="0" applyFill="0" applyBorder="0" applyAlignment="0" applyProtection="0"/>
  </cellStyleXfs>
  <cellXfs count="453">
    <xf numFmtId="0" fontId="0" fillId="0" borderId="0" xfId="0"/>
    <xf numFmtId="0" fontId="8" fillId="2" borderId="1" xfId="1" applyFont="1" applyFill="1" applyBorder="1" applyAlignment="1">
      <alignment horizontal="center" vertical="top"/>
    </xf>
    <xf numFmtId="0" fontId="8" fillId="2" borderId="3" xfId="1" applyFont="1" applyFill="1" applyBorder="1" applyAlignment="1">
      <alignment horizontal="centerContinuous" vertical="top"/>
    </xf>
    <xf numFmtId="0" fontId="8" fillId="2" borderId="4" xfId="1" applyFont="1" applyFill="1" applyBorder="1" applyAlignment="1">
      <alignment horizontal="centerContinuous" vertical="top"/>
    </xf>
    <xf numFmtId="0" fontId="8" fillId="2" borderId="4" xfId="1" applyFont="1" applyFill="1" applyBorder="1" applyAlignment="1">
      <alignment horizontal="center" vertical="top"/>
    </xf>
    <xf numFmtId="0" fontId="8" fillId="2" borderId="1" xfId="1" applyFont="1" applyFill="1" applyBorder="1" applyAlignment="1">
      <alignment horizontal="center" vertical="center"/>
    </xf>
    <xf numFmtId="37" fontId="4" fillId="0" borderId="10" xfId="1" applyNumberFormat="1" applyFont="1" applyBorder="1" applyAlignment="1"/>
    <xf numFmtId="168" fontId="4" fillId="0" borderId="9" xfId="1" applyNumberFormat="1" applyFont="1" applyBorder="1" applyAlignment="1"/>
    <xf numFmtId="168" fontId="4" fillId="0" borderId="10" xfId="1" applyNumberFormat="1" applyFont="1" applyBorder="1" applyAlignment="1"/>
    <xf numFmtId="168" fontId="4" fillId="0" borderId="11" xfId="1" applyNumberFormat="1" applyFont="1" applyBorder="1" applyAlignment="1"/>
    <xf numFmtId="168" fontId="4" fillId="0" borderId="0" xfId="1" applyNumberFormat="1" applyFont="1" applyAlignment="1"/>
    <xf numFmtId="168" fontId="4" fillId="0" borderId="11" xfId="1" applyNumberFormat="1" applyFont="1" applyBorder="1" applyAlignment="1">
      <alignment horizontal="center" vertical="center"/>
    </xf>
    <xf numFmtId="168" fontId="4" fillId="0" borderId="13" xfId="1" applyNumberFormat="1" applyFont="1" applyBorder="1" applyAlignment="1">
      <alignment vertical="center"/>
    </xf>
    <xf numFmtId="168" fontId="4" fillId="0" borderId="11" xfId="1" applyNumberFormat="1" applyFont="1" applyBorder="1" applyAlignment="1">
      <alignment vertical="center"/>
    </xf>
    <xf numFmtId="168" fontId="4" fillId="0" borderId="0" xfId="1" applyNumberFormat="1" applyFont="1" applyAlignment="1">
      <alignment vertical="center"/>
    </xf>
    <xf numFmtId="168" fontId="12" fillId="0" borderId="0" xfId="3" applyNumberFormat="1" applyFont="1" applyBorder="1" applyAlignment="1">
      <alignment vertical="center"/>
    </xf>
    <xf numFmtId="168" fontId="12" fillId="0" borderId="0" xfId="3" applyNumberFormat="1" applyFont="1" applyAlignment="1">
      <alignment vertical="center"/>
    </xf>
    <xf numFmtId="168" fontId="12" fillId="0" borderId="11" xfId="1" applyNumberFormat="1" applyFont="1" applyBorder="1" applyAlignment="1">
      <alignment vertical="center"/>
    </xf>
    <xf numFmtId="168" fontId="17" fillId="0" borderId="0" xfId="3" applyNumberFormat="1" applyFont="1" applyBorder="1" applyAlignment="1">
      <alignment vertical="center"/>
    </xf>
    <xf numFmtId="168" fontId="17" fillId="0" borderId="11" xfId="1" applyNumberFormat="1" applyFont="1" applyBorder="1" applyAlignment="1">
      <alignment vertical="center"/>
    </xf>
    <xf numFmtId="168" fontId="17" fillId="0" borderId="0" xfId="3" applyNumberFormat="1" applyFont="1" applyAlignment="1">
      <alignment vertical="center"/>
    </xf>
    <xf numFmtId="0" fontId="15" fillId="4" borderId="13" xfId="2" applyFont="1" applyFill="1" applyBorder="1" applyAlignment="1">
      <alignment horizontal="left" indent="4"/>
    </xf>
    <xf numFmtId="172" fontId="15" fillId="0" borderId="11" xfId="7" applyNumberFormat="1" applyFont="1" applyBorder="1" applyAlignment="1">
      <alignment vertical="center"/>
    </xf>
    <xf numFmtId="10" fontId="4" fillId="4" borderId="13" xfId="6" applyNumberFormat="1" applyFont="1" applyFill="1" applyBorder="1" applyAlignment="1">
      <alignment horizontal="left" indent="1"/>
    </xf>
    <xf numFmtId="167" fontId="17" fillId="4" borderId="0" xfId="8" applyFont="1" applyFill="1" applyBorder="1" applyAlignment="1">
      <alignment vertical="center"/>
    </xf>
    <xf numFmtId="167" fontId="17" fillId="0" borderId="11" xfId="6" applyNumberFormat="1" applyFont="1" applyFill="1" applyBorder="1" applyAlignment="1">
      <alignment vertical="center"/>
    </xf>
    <xf numFmtId="167" fontId="12" fillId="4" borderId="0" xfId="8" applyFont="1" applyFill="1" applyBorder="1" applyAlignment="1">
      <alignment vertical="center"/>
    </xf>
    <xf numFmtId="167" fontId="12" fillId="0" borderId="11" xfId="6" applyNumberFormat="1" applyFont="1" applyFill="1" applyBorder="1" applyAlignment="1">
      <alignment vertical="center"/>
    </xf>
    <xf numFmtId="168" fontId="8" fillId="0" borderId="19" xfId="1" applyNumberFormat="1" applyFont="1" applyBorder="1" applyAlignment="1">
      <alignment vertical="center"/>
    </xf>
    <xf numFmtId="168" fontId="8" fillId="0" borderId="25" xfId="1" applyNumberFormat="1" applyFont="1" applyBorder="1" applyAlignment="1">
      <alignment vertical="center"/>
    </xf>
    <xf numFmtId="168" fontId="18" fillId="0" borderId="19" xfId="1" applyNumberFormat="1" applyFont="1" applyBorder="1" applyAlignment="1">
      <alignment vertical="center"/>
    </xf>
    <xf numFmtId="168" fontId="12" fillId="0" borderId="0" xfId="1" applyNumberFormat="1" applyFont="1" applyAlignment="1">
      <alignment vertical="center"/>
    </xf>
    <xf numFmtId="174" fontId="4" fillId="4" borderId="13" xfId="1" applyNumberFormat="1" applyFont="1" applyFill="1" applyBorder="1" applyAlignment="1">
      <alignment horizontal="left" indent="1"/>
    </xf>
    <xf numFmtId="168" fontId="16" fillId="0" borderId="0" xfId="3" applyNumberFormat="1" applyFont="1" applyBorder="1" applyAlignment="1">
      <alignment vertical="center"/>
    </xf>
    <xf numFmtId="168" fontId="16" fillId="0" borderId="13" xfId="3" applyNumberFormat="1" applyFont="1" applyBorder="1" applyAlignment="1">
      <alignment vertical="center"/>
    </xf>
    <xf numFmtId="168" fontId="16" fillId="0" borderId="0" xfId="3" applyNumberFormat="1" applyFont="1" applyAlignment="1">
      <alignment vertical="center"/>
    </xf>
    <xf numFmtId="0" fontId="4" fillId="4" borderId="13" xfId="2" applyFont="1" applyFill="1" applyBorder="1" applyAlignment="1">
      <alignment horizontal="left" indent="3"/>
    </xf>
    <xf numFmtId="168" fontId="11" fillId="0" borderId="0" xfId="3" applyNumberFormat="1" applyFont="1" applyBorder="1" applyAlignment="1">
      <alignment vertical="center"/>
    </xf>
    <xf numFmtId="168" fontId="11" fillId="0" borderId="13" xfId="3" applyNumberFormat="1" applyFont="1" applyBorder="1" applyAlignment="1">
      <alignment vertical="center"/>
    </xf>
    <xf numFmtId="168" fontId="11" fillId="0" borderId="11" xfId="1" applyNumberFormat="1" applyFont="1" applyBorder="1" applyAlignment="1">
      <alignment vertical="center"/>
    </xf>
    <xf numFmtId="168" fontId="11" fillId="0" borderId="0" xfId="3" applyNumberFormat="1" applyFont="1" applyAlignment="1">
      <alignment vertical="center"/>
    </xf>
    <xf numFmtId="170" fontId="4" fillId="4" borderId="0" xfId="6" applyNumberFormat="1" applyFont="1" applyFill="1" applyBorder="1" applyAlignment="1">
      <alignment vertical="center"/>
    </xf>
    <xf numFmtId="170" fontId="4" fillId="0" borderId="13" xfId="6" applyNumberFormat="1" applyFont="1" applyFill="1" applyBorder="1" applyAlignment="1">
      <alignment vertical="center"/>
    </xf>
    <xf numFmtId="168" fontId="4" fillId="0" borderId="11" xfId="6" applyNumberFormat="1" applyFont="1" applyFill="1" applyBorder="1" applyAlignment="1">
      <alignment vertical="center"/>
    </xf>
    <xf numFmtId="170" fontId="12" fillId="4" borderId="0" xfId="6" applyNumberFormat="1" applyFont="1" applyFill="1" applyBorder="1" applyAlignment="1">
      <alignment vertical="center"/>
    </xf>
    <xf numFmtId="168" fontId="12" fillId="0" borderId="11" xfId="6" applyNumberFormat="1" applyFont="1" applyFill="1" applyBorder="1" applyAlignment="1">
      <alignment vertical="center"/>
    </xf>
    <xf numFmtId="170" fontId="12" fillId="0" borderId="11" xfId="6" applyNumberFormat="1" applyFont="1" applyFill="1" applyBorder="1" applyAlignment="1">
      <alignment vertical="center"/>
    </xf>
    <xf numFmtId="168" fontId="8" fillId="0" borderId="7" xfId="1" applyNumberFormat="1" applyFont="1" applyBorder="1" applyAlignment="1">
      <alignment vertical="center"/>
    </xf>
    <xf numFmtId="168" fontId="8" fillId="0" borderId="15" xfId="1" applyNumberFormat="1" applyFont="1" applyBorder="1" applyAlignment="1">
      <alignment vertical="center"/>
    </xf>
    <xf numFmtId="168" fontId="18" fillId="0" borderId="7" xfId="1" applyNumberFormat="1" applyFont="1" applyBorder="1" applyAlignment="1">
      <alignment vertical="center"/>
    </xf>
    <xf numFmtId="168" fontId="18" fillId="0" borderId="15" xfId="1" applyNumberFormat="1" applyFont="1" applyBorder="1" applyAlignment="1">
      <alignment vertical="center"/>
    </xf>
    <xf numFmtId="175" fontId="8" fillId="0" borderId="16" xfId="1" applyNumberFormat="1" applyFont="1" applyBorder="1" applyAlignment="1">
      <alignment vertical="center"/>
    </xf>
    <xf numFmtId="175" fontId="8" fillId="0" borderId="5" xfId="1" applyNumberFormat="1" applyFont="1" applyBorder="1" applyAlignment="1">
      <alignment vertical="center"/>
    </xf>
    <xf numFmtId="175" fontId="18" fillId="0" borderId="16" xfId="1" applyNumberFormat="1" applyFont="1" applyBorder="1" applyAlignment="1">
      <alignment vertical="center"/>
    </xf>
    <xf numFmtId="175" fontId="18" fillId="0" borderId="5" xfId="1" applyNumberFormat="1" applyFont="1" applyBorder="1" applyAlignment="1">
      <alignment vertical="center"/>
    </xf>
    <xf numFmtId="174" fontId="4" fillId="0" borderId="13" xfId="1" applyNumberFormat="1" applyFont="1" applyBorder="1" applyAlignment="1"/>
    <xf numFmtId="37" fontId="4" fillId="0" borderId="13" xfId="1" applyNumberFormat="1" applyFont="1" applyBorder="1" applyAlignment="1"/>
    <xf numFmtId="174" fontId="8" fillId="0" borderId="13" xfId="1" applyNumberFormat="1" applyFont="1" applyBorder="1" applyAlignment="1"/>
    <xf numFmtId="174" fontId="4" fillId="0" borderId="13" xfId="1" applyNumberFormat="1" applyFont="1" applyBorder="1" applyAlignment="1">
      <alignment horizontal="left" indent="1"/>
    </xf>
    <xf numFmtId="168" fontId="16" fillId="0" borderId="0" xfId="3" applyNumberFormat="1" applyFont="1" applyFill="1" applyBorder="1" applyAlignment="1">
      <alignment vertical="center"/>
    </xf>
    <xf numFmtId="168" fontId="18" fillId="0" borderId="25" xfId="1" applyNumberFormat="1" applyFont="1" applyBorder="1" applyAlignment="1">
      <alignment vertical="center"/>
    </xf>
    <xf numFmtId="174" fontId="19" fillId="0" borderId="13" xfId="3" applyNumberFormat="1" applyFont="1" applyBorder="1"/>
    <xf numFmtId="167" fontId="20" fillId="0" borderId="0" xfId="8" applyFont="1" applyBorder="1" applyAlignment="1">
      <alignment vertical="center"/>
    </xf>
    <xf numFmtId="167" fontId="20" fillId="0" borderId="13" xfId="8" applyFont="1" applyBorder="1" applyAlignment="1">
      <alignment vertical="center"/>
    </xf>
    <xf numFmtId="167" fontId="20" fillId="0" borderId="11" xfId="8" applyFont="1" applyBorder="1" applyAlignment="1">
      <alignment vertical="center"/>
    </xf>
    <xf numFmtId="167" fontId="20" fillId="0" borderId="0" xfId="8" applyFont="1" applyAlignment="1">
      <alignment vertical="center"/>
    </xf>
    <xf numFmtId="167" fontId="14" fillId="0" borderId="11" xfId="8" applyFont="1" applyBorder="1" applyAlignment="1">
      <alignment vertical="center"/>
    </xf>
    <xf numFmtId="174" fontId="8" fillId="0" borderId="18" xfId="1" applyNumberFormat="1" applyFont="1" applyBorder="1" applyAlignment="1"/>
    <xf numFmtId="176" fontId="4" fillId="0" borderId="16" xfId="8" applyNumberFormat="1" applyFont="1" applyBorder="1" applyAlignment="1">
      <alignment vertical="center"/>
    </xf>
    <xf numFmtId="2" fontId="4" fillId="0" borderId="16" xfId="8" applyNumberFormat="1" applyFont="1" applyBorder="1" applyAlignment="1">
      <alignment vertical="center"/>
    </xf>
    <xf numFmtId="167" fontId="20" fillId="0" borderId="16" xfId="8" applyFont="1" applyBorder="1" applyAlignment="1">
      <alignment vertical="center"/>
    </xf>
    <xf numFmtId="167" fontId="20" fillId="0" borderId="18" xfId="8" applyFont="1" applyBorder="1" applyAlignment="1">
      <alignment vertical="center"/>
    </xf>
    <xf numFmtId="177" fontId="14" fillId="0" borderId="5" xfId="3" applyNumberFormat="1" applyFont="1" applyBorder="1" applyAlignment="1">
      <alignment vertical="center"/>
    </xf>
    <xf numFmtId="167" fontId="14" fillId="0" borderId="5" xfId="8" applyFont="1" applyBorder="1" applyAlignment="1">
      <alignment vertical="center"/>
    </xf>
    <xf numFmtId="37" fontId="4" fillId="0" borderId="0" xfId="1" applyNumberFormat="1" applyFont="1" applyAlignment="1"/>
    <xf numFmtId="0" fontId="8" fillId="2" borderId="2" xfId="1" applyFont="1" applyFill="1" applyBorder="1">
      <alignment vertical="top"/>
    </xf>
    <xf numFmtId="0" fontId="8" fillId="2" borderId="4" xfId="1" applyFont="1" applyFill="1" applyBorder="1">
      <alignment vertical="top"/>
    </xf>
    <xf numFmtId="0" fontId="9" fillId="2" borderId="3" xfId="1" applyFont="1" applyFill="1" applyBorder="1" applyAlignment="1">
      <alignment horizontal="center"/>
    </xf>
    <xf numFmtId="0" fontId="10" fillId="2" borderId="14" xfId="1" applyFont="1" applyFill="1" applyBorder="1" applyAlignment="1">
      <alignment horizontal="center" vertical="top"/>
    </xf>
    <xf numFmtId="168" fontId="22" fillId="2" borderId="17" xfId="1" applyNumberFormat="1" applyFont="1" applyFill="1" applyBorder="1" applyAlignment="1">
      <alignment vertical="center"/>
    </xf>
    <xf numFmtId="168" fontId="22" fillId="2" borderId="18" xfId="1" applyNumberFormat="1" applyFont="1" applyFill="1" applyBorder="1" applyAlignment="1">
      <alignment vertical="center"/>
    </xf>
    <xf numFmtId="168" fontId="23" fillId="2" borderId="16" xfId="1" applyNumberFormat="1" applyFont="1" applyFill="1" applyBorder="1" applyAlignment="1">
      <alignment horizontal="center" vertical="center"/>
    </xf>
    <xf numFmtId="168" fontId="23" fillId="2" borderId="5" xfId="1" applyNumberFormat="1" applyFont="1" applyFill="1" applyBorder="1" applyAlignment="1">
      <alignment horizontal="center" vertical="center"/>
    </xf>
    <xf numFmtId="0" fontId="15" fillId="0" borderId="12" xfId="1" applyFont="1" applyBorder="1" applyAlignment="1">
      <alignment horizontal="left" vertical="top" indent="1"/>
    </xf>
    <xf numFmtId="0" fontId="15" fillId="0" borderId="13" xfId="1" applyFont="1" applyBorder="1">
      <alignment vertical="top"/>
    </xf>
    <xf numFmtId="172" fontId="15" fillId="0" borderId="0" xfId="7" applyNumberFormat="1" applyFont="1" applyBorder="1" applyAlignment="1">
      <alignment horizontal="center" vertical="top"/>
    </xf>
    <xf numFmtId="172" fontId="15" fillId="0" borderId="11" xfId="7" applyNumberFormat="1" applyFont="1" applyBorder="1" applyAlignment="1">
      <alignment horizontal="center" vertical="top"/>
    </xf>
    <xf numFmtId="172" fontId="15" fillId="5" borderId="0" xfId="7" applyNumberFormat="1" applyFont="1" applyFill="1" applyBorder="1" applyAlignment="1">
      <alignment horizontal="center" vertical="top"/>
    </xf>
    <xf numFmtId="168" fontId="4" fillId="0" borderId="12" xfId="1" applyNumberFormat="1" applyFont="1" applyBorder="1">
      <alignment vertical="top"/>
    </xf>
    <xf numFmtId="168" fontId="4" fillId="0" borderId="13" xfId="1" applyNumberFormat="1" applyFont="1" applyBorder="1">
      <alignment vertical="top"/>
    </xf>
    <xf numFmtId="168" fontId="4" fillId="0" borderId="11" xfId="1" applyNumberFormat="1" applyFont="1" applyBorder="1" applyAlignment="1">
      <alignment horizontal="center" vertical="top"/>
    </xf>
    <xf numFmtId="0" fontId="15" fillId="0" borderId="12" xfId="1" applyFont="1" applyBorder="1" applyAlignment="1">
      <alignment horizontal="left" vertical="center" indent="1"/>
    </xf>
    <xf numFmtId="172" fontId="15" fillId="0" borderId="11" xfId="7" applyNumberFormat="1" applyFont="1" applyFill="1" applyBorder="1" applyAlignment="1">
      <alignment horizontal="center" vertical="top"/>
    </xf>
    <xf numFmtId="168" fontId="4" fillId="0" borderId="6" xfId="1" applyNumberFormat="1" applyFont="1" applyBorder="1">
      <alignment vertical="top"/>
    </xf>
    <xf numFmtId="168" fontId="4" fillId="0" borderId="8" xfId="1" applyNumberFormat="1" applyFont="1" applyBorder="1" applyAlignment="1">
      <alignment horizontal="left" vertical="top" indent="1"/>
    </xf>
    <xf numFmtId="168" fontId="4" fillId="0" borderId="7" xfId="1" applyNumberFormat="1" applyFont="1" applyBorder="1" applyAlignment="1">
      <alignment horizontal="center" vertical="top"/>
    </xf>
    <xf numFmtId="168" fontId="4" fillId="0" borderId="8" xfId="1" applyNumberFormat="1" applyFont="1" applyBorder="1" applyAlignment="1">
      <alignment horizontal="center" vertical="top"/>
    </xf>
    <xf numFmtId="168" fontId="4" fillId="0" borderId="15" xfId="1" applyNumberFormat="1" applyFont="1" applyBorder="1" applyAlignment="1">
      <alignment horizontal="center" vertical="top"/>
    </xf>
    <xf numFmtId="172" fontId="15" fillId="0" borderId="13" xfId="7" applyNumberFormat="1" applyFont="1" applyBorder="1" applyAlignment="1">
      <alignment horizontal="center" vertical="top"/>
    </xf>
    <xf numFmtId="172" fontId="15" fillId="5" borderId="11" xfId="7" applyNumberFormat="1" applyFont="1" applyFill="1" applyBorder="1" applyAlignment="1">
      <alignment horizontal="center" vertical="top"/>
    </xf>
    <xf numFmtId="168" fontId="22" fillId="2" borderId="6" xfId="1" applyNumberFormat="1" applyFont="1" applyFill="1" applyBorder="1" applyAlignment="1">
      <alignment vertical="center"/>
    </xf>
    <xf numFmtId="168" fontId="24" fillId="2" borderId="8" xfId="1" applyNumberFormat="1" applyFont="1" applyFill="1" applyBorder="1" applyAlignment="1">
      <alignment vertical="center"/>
    </xf>
    <xf numFmtId="168" fontId="22" fillId="2" borderId="7" xfId="1" applyNumberFormat="1" applyFont="1" applyFill="1" applyBorder="1" applyAlignment="1">
      <alignment horizontal="center" vertical="center"/>
    </xf>
    <xf numFmtId="168" fontId="22" fillId="2" borderId="15" xfId="1" applyNumberFormat="1" applyFont="1" applyFill="1" applyBorder="1" applyAlignment="1">
      <alignment horizontal="center" vertical="center"/>
    </xf>
    <xf numFmtId="0" fontId="15" fillId="0" borderId="17" xfId="1" applyFont="1" applyBorder="1" applyAlignment="1">
      <alignment horizontal="left" vertical="top" indent="1"/>
    </xf>
    <xf numFmtId="0" fontId="15" fillId="0" borderId="18" xfId="1" applyFont="1" applyBorder="1">
      <alignment vertical="top"/>
    </xf>
    <xf numFmtId="172" fontId="15" fillId="0" borderId="11" xfId="1" applyNumberFormat="1" applyFont="1" applyBorder="1" applyAlignment="1">
      <alignment horizontal="center" vertical="top"/>
    </xf>
    <xf numFmtId="168" fontId="8" fillId="0" borderId="12" xfId="1" applyNumberFormat="1" applyFont="1" applyBorder="1">
      <alignment vertical="top"/>
    </xf>
    <xf numFmtId="168" fontId="8" fillId="0" borderId="9" xfId="1" applyNumberFormat="1" applyFont="1" applyBorder="1" applyAlignment="1">
      <alignment horizontal="center" vertical="top"/>
    </xf>
    <xf numFmtId="168" fontId="8" fillId="0" borderId="1" xfId="1" applyNumberFormat="1" applyFont="1" applyBorder="1" applyAlignment="1">
      <alignment horizontal="center" vertical="top"/>
    </xf>
    <xf numFmtId="168" fontId="8" fillId="5" borderId="9" xfId="1" applyNumberFormat="1" applyFont="1" applyFill="1" applyBorder="1" applyAlignment="1">
      <alignment horizontal="center" vertical="top"/>
    </xf>
    <xf numFmtId="168" fontId="8" fillId="5" borderId="12" xfId="1" applyNumberFormat="1" applyFont="1" applyFill="1" applyBorder="1">
      <alignment vertical="top"/>
    </xf>
    <xf numFmtId="168" fontId="4" fillId="5" borderId="13" xfId="1" applyNumberFormat="1" applyFont="1" applyFill="1" applyBorder="1">
      <alignment vertical="top"/>
    </xf>
    <xf numFmtId="168" fontId="8" fillId="5" borderId="11" xfId="1" applyNumberFormat="1" applyFont="1" applyFill="1" applyBorder="1" applyAlignment="1">
      <alignment horizontal="center" vertical="top"/>
    </xf>
    <xf numFmtId="168" fontId="4" fillId="0" borderId="11" xfId="7" applyNumberFormat="1" applyFont="1" applyFill="1" applyBorder="1" applyAlignment="1">
      <alignment horizontal="center" vertical="top"/>
    </xf>
    <xf numFmtId="168" fontId="8" fillId="0" borderId="6" xfId="1" applyNumberFormat="1" applyFont="1" applyBorder="1">
      <alignment vertical="top"/>
    </xf>
    <xf numFmtId="168" fontId="8" fillId="0" borderId="8" xfId="1" applyNumberFormat="1" applyFont="1" applyBorder="1">
      <alignment vertical="top"/>
    </xf>
    <xf numFmtId="168" fontId="8" fillId="0" borderId="7" xfId="1" applyNumberFormat="1" applyFont="1" applyBorder="1" applyAlignment="1">
      <alignment horizontal="center" vertical="top"/>
    </xf>
    <xf numFmtId="168" fontId="8" fillId="0" borderId="8" xfId="1" applyNumberFormat="1" applyFont="1" applyBorder="1" applyAlignment="1">
      <alignment horizontal="center" vertical="top"/>
    </xf>
    <xf numFmtId="168" fontId="8" fillId="0" borderId="15" xfId="1" applyNumberFormat="1" applyFont="1" applyBorder="1" applyAlignment="1">
      <alignment horizontal="center" vertical="top"/>
    </xf>
    <xf numFmtId="168" fontId="8" fillId="5" borderId="7" xfId="1" applyNumberFormat="1" applyFont="1" applyFill="1" applyBorder="1" applyAlignment="1">
      <alignment horizontal="center" vertical="top"/>
    </xf>
    <xf numFmtId="168" fontId="8" fillId="5" borderId="15" xfId="1" applyNumberFormat="1" applyFont="1" applyFill="1" applyBorder="1" applyAlignment="1">
      <alignment horizontal="center" vertical="top"/>
    </xf>
    <xf numFmtId="172" fontId="15" fillId="5" borderId="13" xfId="1" applyNumberFormat="1" applyFont="1" applyFill="1" applyBorder="1">
      <alignment vertical="top"/>
    </xf>
    <xf numFmtId="181" fontId="22" fillId="2" borderId="22" xfId="1" applyNumberFormat="1" applyFont="1" applyFill="1" applyBorder="1" applyAlignment="1">
      <alignment vertical="center"/>
    </xf>
    <xf numFmtId="181" fontId="24" fillId="2" borderId="24" xfId="1" applyNumberFormat="1" applyFont="1" applyFill="1" applyBorder="1" applyAlignment="1">
      <alignment vertical="center"/>
    </xf>
    <xf numFmtId="181" fontId="25" fillId="2" borderId="19" xfId="1" applyNumberFormat="1" applyFont="1" applyFill="1" applyBorder="1" applyAlignment="1">
      <alignment horizontal="center" vertical="center"/>
    </xf>
    <xf numFmtId="181" fontId="22" fillId="2" borderId="25" xfId="1" applyNumberFormat="1" applyFont="1" applyFill="1" applyBorder="1" applyAlignment="1">
      <alignment horizontal="center" vertical="center"/>
    </xf>
    <xf numFmtId="181" fontId="22" fillId="2" borderId="19" xfId="1" applyNumberFormat="1" applyFont="1" applyFill="1" applyBorder="1" applyAlignment="1">
      <alignment horizontal="center" vertical="center"/>
    </xf>
    <xf numFmtId="0" fontId="4" fillId="0" borderId="0" xfId="1" applyFont="1">
      <alignment vertical="top"/>
    </xf>
    <xf numFmtId="0" fontId="8" fillId="0" borderId="1" xfId="1" applyFont="1" applyBorder="1">
      <alignment vertical="top"/>
    </xf>
    <xf numFmtId="171" fontId="4" fillId="0" borderId="11" xfId="1" applyNumberFormat="1" applyFont="1" applyBorder="1">
      <alignment vertical="top"/>
    </xf>
    <xf numFmtId="9" fontId="4" fillId="0" borderId="0" xfId="7" applyFont="1" applyFill="1" applyBorder="1" applyAlignment="1">
      <alignment vertical="top"/>
    </xf>
    <xf numFmtId="9" fontId="4" fillId="0" borderId="11" xfId="7" applyFont="1" applyFill="1" applyBorder="1" applyAlignment="1">
      <alignment vertical="top"/>
    </xf>
    <xf numFmtId="0" fontId="4" fillId="0" borderId="11" xfId="1" applyFont="1" applyBorder="1">
      <alignment vertical="top"/>
    </xf>
    <xf numFmtId="182" fontId="8" fillId="0" borderId="23" xfId="7" applyNumberFormat="1" applyFont="1" applyFill="1" applyBorder="1" applyAlignment="1">
      <alignment vertical="top"/>
    </xf>
    <xf numFmtId="171" fontId="22" fillId="0" borderId="23" xfId="5" applyNumberFormat="1" applyFont="1" applyFill="1" applyBorder="1" applyAlignment="1">
      <alignment vertical="top"/>
    </xf>
    <xf numFmtId="182" fontId="8" fillId="0" borderId="31" xfId="7" applyNumberFormat="1" applyFont="1" applyFill="1" applyBorder="1" applyAlignment="1">
      <alignment vertical="top"/>
    </xf>
    <xf numFmtId="170" fontId="15" fillId="0" borderId="0" xfId="7" applyNumberFormat="1" applyFont="1" applyFill="1" applyBorder="1" applyAlignment="1">
      <alignment vertical="top"/>
    </xf>
    <xf numFmtId="172" fontId="15" fillId="0" borderId="11" xfId="7" applyNumberFormat="1" applyFont="1" applyFill="1" applyBorder="1" applyAlignment="1">
      <alignment vertical="top"/>
    </xf>
    <xf numFmtId="184" fontId="8" fillId="0" borderId="0" xfId="7" applyNumberFormat="1" applyFont="1" applyFill="1" applyBorder="1" applyAlignment="1">
      <alignment vertical="top"/>
    </xf>
    <xf numFmtId="172" fontId="4" fillId="0" borderId="0" xfId="7" applyNumberFormat="1" applyFont="1" applyFill="1" applyBorder="1" applyAlignment="1">
      <alignment vertical="top"/>
    </xf>
    <xf numFmtId="172" fontId="15" fillId="0" borderId="0" xfId="7" applyNumberFormat="1" applyFont="1" applyFill="1" applyBorder="1" applyAlignment="1">
      <alignment vertical="top"/>
    </xf>
    <xf numFmtId="167" fontId="4" fillId="0" borderId="21" xfId="8" applyFont="1" applyFill="1" applyBorder="1" applyAlignment="1">
      <alignment vertical="top"/>
    </xf>
    <xf numFmtId="167" fontId="4" fillId="0" borderId="0" xfId="8" applyFont="1" applyFill="1" applyBorder="1" applyAlignment="1">
      <alignment vertical="top"/>
    </xf>
    <xf numFmtId="0" fontId="15" fillId="0" borderId="0" xfId="1" applyFont="1">
      <alignment vertical="top"/>
    </xf>
    <xf numFmtId="37" fontId="3" fillId="0" borderId="0" xfId="1" applyNumberFormat="1" applyFont="1" applyAlignment="1">
      <alignment horizontal="left" indent="8"/>
    </xf>
    <xf numFmtId="0" fontId="4" fillId="0" borderId="0" xfId="2" applyFont="1"/>
    <xf numFmtId="168" fontId="5" fillId="0" borderId="0" xfId="1" applyNumberFormat="1" applyFont="1" applyAlignment="1">
      <alignment horizontal="left" vertical="top" indent="1"/>
    </xf>
    <xf numFmtId="39" fontId="4" fillId="0" borderId="0" xfId="1" applyNumberFormat="1" applyFont="1" applyAlignment="1"/>
    <xf numFmtId="0" fontId="8" fillId="0" borderId="1" xfId="1" applyFont="1" applyBorder="1" applyAlignment="1">
      <alignment horizontal="center" vertical="top"/>
    </xf>
    <xf numFmtId="37" fontId="4" fillId="0" borderId="0" xfId="2" applyNumberFormat="1" applyFont="1"/>
    <xf numFmtId="0" fontId="4" fillId="0" borderId="0" xfId="2" applyFont="1" applyAlignment="1">
      <alignment horizontal="center" vertical="center"/>
    </xf>
    <xf numFmtId="37" fontId="3" fillId="0" borderId="0" xfId="1" applyNumberFormat="1" applyFont="1" applyAlignment="1">
      <alignment horizontal="left" indent="5"/>
    </xf>
    <xf numFmtId="170" fontId="4" fillId="0" borderId="0" xfId="1" applyNumberFormat="1" applyFont="1" applyAlignment="1"/>
    <xf numFmtId="170" fontId="4" fillId="0" borderId="0" xfId="1" applyNumberFormat="1" applyFont="1" applyAlignment="1">
      <alignment horizontal="center" vertical="center"/>
    </xf>
    <xf numFmtId="168" fontId="5" fillId="0" borderId="0" xfId="1" applyNumberFormat="1" applyFont="1">
      <alignment vertical="top"/>
    </xf>
    <xf numFmtId="167" fontId="4" fillId="0" borderId="0" xfId="8" applyFont="1" applyFill="1" applyAlignment="1"/>
    <xf numFmtId="0" fontId="6" fillId="0" borderId="0" xfId="1" applyFont="1">
      <alignment vertical="top"/>
    </xf>
    <xf numFmtId="173" fontId="4" fillId="0" borderId="0" xfId="8" applyNumberFormat="1" applyFont="1" applyFill="1" applyAlignment="1"/>
    <xf numFmtId="37" fontId="12" fillId="0" borderId="0" xfId="1" applyNumberFormat="1" applyFont="1" applyAlignment="1"/>
    <xf numFmtId="37" fontId="15" fillId="0" borderId="0" xfId="1" applyNumberFormat="1" applyFont="1" applyAlignment="1"/>
    <xf numFmtId="10" fontId="4" fillId="0" borderId="0" xfId="6" applyNumberFormat="1" applyFont="1" applyFill="1" applyBorder="1"/>
    <xf numFmtId="164" fontId="8" fillId="0" borderId="0" xfId="1" applyNumberFormat="1" applyFont="1" applyAlignment="1"/>
    <xf numFmtId="37" fontId="4" fillId="0" borderId="0" xfId="6" applyNumberFormat="1" applyFont="1" applyFill="1" applyBorder="1"/>
    <xf numFmtId="175" fontId="8" fillId="0" borderId="0" xfId="1" applyNumberFormat="1" applyFont="1" applyAlignment="1"/>
    <xf numFmtId="169" fontId="4" fillId="0" borderId="0" xfId="1" applyNumberFormat="1" applyFont="1" applyAlignment="1"/>
    <xf numFmtId="37" fontId="4" fillId="0" borderId="0" xfId="2" applyNumberFormat="1" applyFont="1" applyAlignment="1">
      <alignment horizontal="center" vertical="center"/>
    </xf>
    <xf numFmtId="178" fontId="4" fillId="0" borderId="0" xfId="2" applyNumberFormat="1" applyFont="1"/>
    <xf numFmtId="37" fontId="3" fillId="0" borderId="0" xfId="1" applyNumberFormat="1" applyFont="1" applyAlignment="1">
      <alignment horizontal="left"/>
    </xf>
    <xf numFmtId="0" fontId="21" fillId="0" borderId="0" xfId="1" applyFont="1" applyAlignment="1">
      <alignment horizontal="right" vertical="top"/>
    </xf>
    <xf numFmtId="4" fontId="21" fillId="0" borderId="0" xfId="1" applyNumberFormat="1" applyFont="1">
      <alignment vertical="top"/>
    </xf>
    <xf numFmtId="0" fontId="21" fillId="0" borderId="0" xfId="1" applyFont="1">
      <alignment vertical="top"/>
    </xf>
    <xf numFmtId="9" fontId="21" fillId="0" borderId="0" xfId="7" applyFont="1" applyFill="1" applyBorder="1" applyAlignment="1">
      <alignment vertical="top"/>
    </xf>
    <xf numFmtId="4" fontId="4" fillId="0" borderId="0" xfId="1" applyNumberFormat="1" applyFont="1">
      <alignment vertical="top"/>
    </xf>
    <xf numFmtId="9" fontId="4" fillId="0" borderId="0" xfId="7" applyFont="1" applyFill="1" applyAlignment="1">
      <alignment vertical="top"/>
    </xf>
    <xf numFmtId="179" fontId="4" fillId="0" borderId="0" xfId="1" applyNumberFormat="1" applyFont="1">
      <alignment vertical="top"/>
    </xf>
    <xf numFmtId="37" fontId="4" fillId="0" borderId="0" xfId="1" applyNumberFormat="1" applyFont="1">
      <alignment vertical="top"/>
    </xf>
    <xf numFmtId="180" fontId="4" fillId="0" borderId="0" xfId="1" applyNumberFormat="1" applyFont="1">
      <alignment vertical="top"/>
    </xf>
    <xf numFmtId="0" fontId="8" fillId="0" borderId="29" xfId="1" applyFont="1" applyBorder="1">
      <alignment vertical="top"/>
    </xf>
    <xf numFmtId="0" fontId="8" fillId="0" borderId="30" xfId="1" applyFont="1" applyBorder="1">
      <alignment vertical="top"/>
    </xf>
    <xf numFmtId="0" fontId="8" fillId="0" borderId="9" xfId="1" applyFont="1" applyBorder="1" applyAlignment="1">
      <alignment horizontal="centerContinuous" vertical="top"/>
    </xf>
    <xf numFmtId="0" fontId="8" fillId="0" borderId="10" xfId="1" applyFont="1" applyBorder="1" applyAlignment="1">
      <alignment horizontal="centerContinuous" vertical="top"/>
    </xf>
    <xf numFmtId="0" fontId="8" fillId="0" borderId="0" xfId="1" applyFont="1">
      <alignment vertical="top"/>
    </xf>
    <xf numFmtId="168" fontId="22" fillId="0" borderId="0" xfId="1" applyNumberFormat="1" applyFont="1" applyAlignment="1">
      <alignment vertical="center"/>
    </xf>
    <xf numFmtId="168" fontId="4" fillId="0" borderId="0" xfId="1" applyNumberFormat="1" applyFont="1">
      <alignment vertical="top"/>
    </xf>
    <xf numFmtId="170" fontId="15" fillId="0" borderId="0" xfId="1" applyNumberFormat="1" applyFont="1">
      <alignment vertical="top"/>
    </xf>
    <xf numFmtId="168" fontId="8" fillId="0" borderId="0" xfId="1" applyNumberFormat="1" applyFont="1">
      <alignment vertical="top"/>
    </xf>
    <xf numFmtId="181" fontId="24" fillId="0" borderId="0" xfId="1" applyNumberFormat="1" applyFont="1" applyAlignment="1">
      <alignment vertical="center"/>
    </xf>
    <xf numFmtId="167" fontId="15" fillId="0" borderId="0" xfId="8" applyFont="1" applyFill="1" applyAlignment="1">
      <alignment vertical="top"/>
    </xf>
    <xf numFmtId="14" fontId="4" fillId="0" borderId="0" xfId="1" applyNumberFormat="1" applyFont="1">
      <alignment vertical="top"/>
    </xf>
    <xf numFmtId="183" fontId="17" fillId="4" borderId="0" xfId="8" applyNumberFormat="1" applyFont="1" applyFill="1" applyBorder="1" applyAlignment="1">
      <alignment vertical="center"/>
    </xf>
    <xf numFmtId="183" fontId="17" fillId="0" borderId="11" xfId="6" applyNumberFormat="1" applyFont="1" applyFill="1" applyBorder="1" applyAlignment="1">
      <alignment vertical="center"/>
    </xf>
    <xf numFmtId="172" fontId="30" fillId="0" borderId="12" xfId="7" applyNumberFormat="1" applyFont="1" applyFill="1" applyBorder="1" applyAlignment="1">
      <alignment vertical="top"/>
    </xf>
    <xf numFmtId="172" fontId="30" fillId="0" borderId="0" xfId="7" applyNumberFormat="1" applyFont="1" applyFill="1" applyBorder="1" applyAlignment="1">
      <alignment vertical="top"/>
    </xf>
    <xf numFmtId="172" fontId="30" fillId="0" borderId="13" xfId="7" applyNumberFormat="1" applyFont="1" applyFill="1" applyBorder="1" applyAlignment="1">
      <alignment vertical="top"/>
    </xf>
    <xf numFmtId="172" fontId="30" fillId="0" borderId="11" xfId="7" applyNumberFormat="1" applyFont="1" applyFill="1" applyBorder="1" applyAlignment="1">
      <alignment vertical="top"/>
    </xf>
    <xf numFmtId="168" fontId="8" fillId="0" borderId="33" xfId="1" applyNumberFormat="1" applyFont="1" applyBorder="1">
      <alignment vertical="top"/>
    </xf>
    <xf numFmtId="168" fontId="8" fillId="0" borderId="20" xfId="1" applyNumberFormat="1" applyFont="1" applyBorder="1">
      <alignment vertical="top"/>
    </xf>
    <xf numFmtId="168" fontId="8" fillId="0" borderId="27" xfId="1" applyNumberFormat="1" applyFont="1" applyBorder="1">
      <alignment vertical="top"/>
    </xf>
    <xf numFmtId="39" fontId="26" fillId="0" borderId="0" xfId="1" applyNumberFormat="1" applyFont="1" applyAlignment="1">
      <alignment horizontal="right"/>
    </xf>
    <xf numFmtId="39" fontId="21" fillId="0" borderId="0" xfId="1" applyNumberFormat="1" applyFont="1" applyAlignment="1"/>
    <xf numFmtId="37" fontId="21" fillId="0" borderId="0" xfId="2" applyNumberFormat="1" applyFont="1"/>
    <xf numFmtId="9" fontId="21" fillId="0" borderId="0" xfId="7" applyFont="1" applyFill="1"/>
    <xf numFmtId="182" fontId="21" fillId="0" borderId="0" xfId="7" applyNumberFormat="1" applyFont="1" applyFill="1"/>
    <xf numFmtId="2" fontId="21" fillId="0" borderId="0" xfId="7" applyNumberFormat="1" applyFont="1" applyFill="1"/>
    <xf numFmtId="173" fontId="20" fillId="0" borderId="0" xfId="8" applyNumberFormat="1" applyFont="1" applyFill="1" applyAlignment="1">
      <alignment vertical="top"/>
    </xf>
    <xf numFmtId="182" fontId="4" fillId="0" borderId="0" xfId="1" applyNumberFormat="1" applyFont="1">
      <alignment vertical="top"/>
    </xf>
    <xf numFmtId="168" fontId="18" fillId="0" borderId="0" xfId="1" applyNumberFormat="1" applyFont="1" applyAlignment="1">
      <alignment horizontal="left" vertical="top" indent="1"/>
    </xf>
    <xf numFmtId="182" fontId="22" fillId="0" borderId="31" xfId="1" applyNumberFormat="1" applyFont="1" applyBorder="1">
      <alignment vertical="top"/>
    </xf>
    <xf numFmtId="171" fontId="22" fillId="0" borderId="31" xfId="5" applyNumberFormat="1" applyFont="1" applyFill="1" applyBorder="1" applyAlignment="1">
      <alignment vertical="top"/>
    </xf>
    <xf numFmtId="0" fontId="15" fillId="0" borderId="32" xfId="1" applyFont="1" applyBorder="1" applyAlignment="1">
      <alignment horizontal="left" vertical="top" indent="1"/>
    </xf>
    <xf numFmtId="0" fontId="15" fillId="0" borderId="11" xfId="1" applyFont="1" applyBorder="1" applyAlignment="1">
      <alignment horizontal="left" vertical="top" indent="1"/>
    </xf>
    <xf numFmtId="183" fontId="15" fillId="0" borderId="11" xfId="1" applyNumberFormat="1" applyFont="1" applyBorder="1">
      <alignment vertical="top"/>
    </xf>
    <xf numFmtId="165" fontId="15" fillId="0" borderId="11" xfId="1" applyNumberFormat="1" applyFont="1" applyBorder="1">
      <alignment vertical="top"/>
    </xf>
    <xf numFmtId="0" fontId="4" fillId="0" borderId="26" xfId="1" applyFont="1" applyBorder="1" applyAlignment="1">
      <alignment horizontal="left" vertical="top" indent="1"/>
    </xf>
    <xf numFmtId="172" fontId="4" fillId="0" borderId="26" xfId="7" applyNumberFormat="1" applyFont="1" applyFill="1" applyBorder="1" applyAlignment="1">
      <alignment vertical="top"/>
    </xf>
    <xf numFmtId="183" fontId="4" fillId="0" borderId="11" xfId="1" applyNumberFormat="1" applyFont="1" applyBorder="1">
      <alignment vertical="top"/>
    </xf>
    <xf numFmtId="165" fontId="4" fillId="0" borderId="11" xfId="1" applyNumberFormat="1" applyFont="1" applyBorder="1">
      <alignment vertical="top"/>
    </xf>
    <xf numFmtId="0" fontId="27" fillId="0" borderId="11" xfId="1" applyFont="1" applyBorder="1">
      <alignment vertical="top"/>
    </xf>
    <xf numFmtId="168" fontId="5" fillId="0" borderId="20" xfId="1" applyNumberFormat="1" applyFont="1" applyBorder="1">
      <alignment vertical="top"/>
    </xf>
    <xf numFmtId="171" fontId="8" fillId="0" borderId="11" xfId="5" applyNumberFormat="1" applyFont="1" applyFill="1" applyBorder="1" applyAlignment="1">
      <alignment vertical="top"/>
    </xf>
    <xf numFmtId="171" fontId="5" fillId="0" borderId="20" xfId="5" applyNumberFormat="1" applyFont="1" applyFill="1" applyBorder="1" applyAlignment="1">
      <alignment vertical="center"/>
    </xf>
    <xf numFmtId="171" fontId="8" fillId="0" borderId="28" xfId="5" applyNumberFormat="1" applyFont="1" applyFill="1" applyBorder="1" applyAlignment="1">
      <alignment vertical="top"/>
    </xf>
    <xf numFmtId="168" fontId="8" fillId="0" borderId="28" xfId="1" applyNumberFormat="1" applyFont="1" applyBorder="1">
      <alignment vertical="top"/>
    </xf>
    <xf numFmtId="173" fontId="8" fillId="0" borderId="0" xfId="8" applyNumberFormat="1" applyFont="1" applyFill="1" applyAlignment="1">
      <alignment vertical="top"/>
    </xf>
    <xf numFmtId="0" fontId="28" fillId="0" borderId="11" xfId="1" applyFont="1" applyBorder="1">
      <alignment vertical="top"/>
    </xf>
    <xf numFmtId="172" fontId="4" fillId="0" borderId="21" xfId="7" applyNumberFormat="1" applyFont="1" applyFill="1" applyBorder="1" applyAlignment="1">
      <alignment vertical="top"/>
    </xf>
    <xf numFmtId="172" fontId="4" fillId="0" borderId="11" xfId="7" applyNumberFormat="1" applyFont="1" applyFill="1" applyBorder="1" applyAlignment="1">
      <alignment vertical="top"/>
    </xf>
    <xf numFmtId="168" fontId="29" fillId="0" borderId="28" xfId="1" applyNumberFormat="1" applyFont="1" applyBorder="1">
      <alignment vertical="top"/>
    </xf>
    <xf numFmtId="0" fontId="4" fillId="0" borderId="5" xfId="1" applyFont="1" applyBorder="1">
      <alignment vertical="top"/>
    </xf>
    <xf numFmtId="172" fontId="4" fillId="0" borderId="16" xfId="7" applyNumberFormat="1" applyFont="1" applyFill="1" applyBorder="1" applyAlignment="1">
      <alignment vertical="top"/>
    </xf>
    <xf numFmtId="172" fontId="4" fillId="0" borderId="5" xfId="7" applyNumberFormat="1" applyFont="1" applyFill="1" applyBorder="1" applyAlignment="1">
      <alignment vertical="top"/>
    </xf>
    <xf numFmtId="0" fontId="4" fillId="0" borderId="0" xfId="1" applyFont="1" applyAlignment="1">
      <alignment horizontal="left" vertical="top" indent="1"/>
    </xf>
    <xf numFmtId="172" fontId="17" fillId="0" borderId="0" xfId="7" applyNumberFormat="1" applyFont="1" applyFill="1" applyBorder="1" applyAlignment="1">
      <alignment vertical="top"/>
    </xf>
    <xf numFmtId="165" fontId="4" fillId="0" borderId="0" xfId="1" applyNumberFormat="1" applyFont="1">
      <alignment vertical="top"/>
    </xf>
    <xf numFmtId="182" fontId="4" fillId="0" borderId="0" xfId="7" applyNumberFormat="1" applyFont="1" applyFill="1" applyBorder="1" applyAlignment="1">
      <alignment vertical="top"/>
    </xf>
    <xf numFmtId="168" fontId="11" fillId="0" borderId="12" xfId="3" applyNumberFormat="1" applyFont="1" applyFill="1" applyBorder="1" applyAlignment="1">
      <alignment vertical="center"/>
    </xf>
    <xf numFmtId="168" fontId="11" fillId="0" borderId="0" xfId="3" applyNumberFormat="1" applyFont="1" applyFill="1" applyBorder="1" applyAlignment="1">
      <alignment vertical="center"/>
    </xf>
    <xf numFmtId="168" fontId="11" fillId="0" borderId="13" xfId="3" applyNumberFormat="1" applyFont="1" applyFill="1" applyBorder="1" applyAlignment="1">
      <alignment vertical="center"/>
    </xf>
    <xf numFmtId="168" fontId="12" fillId="0" borderId="0" xfId="3" applyNumberFormat="1" applyFont="1" applyFill="1" applyBorder="1" applyAlignment="1">
      <alignment vertical="center"/>
    </xf>
    <xf numFmtId="168" fontId="12" fillId="0" borderId="0" xfId="3" applyNumberFormat="1" applyFont="1" applyFill="1" applyAlignment="1">
      <alignment vertical="center"/>
    </xf>
    <xf numFmtId="168" fontId="17" fillId="0" borderId="12" xfId="3" applyNumberFormat="1" applyFont="1" applyFill="1" applyBorder="1" applyAlignment="1">
      <alignment vertical="center"/>
    </xf>
    <xf numFmtId="168" fontId="17" fillId="0" borderId="0" xfId="3" applyNumberFormat="1" applyFont="1" applyFill="1" applyBorder="1" applyAlignment="1">
      <alignment vertical="center"/>
    </xf>
    <xf numFmtId="168" fontId="17" fillId="0" borderId="13" xfId="3" applyNumberFormat="1" applyFont="1" applyFill="1" applyBorder="1" applyAlignment="1">
      <alignment vertical="center"/>
    </xf>
    <xf numFmtId="168" fontId="17" fillId="0" borderId="11" xfId="1" applyNumberFormat="1" applyFont="1" applyBorder="1" applyAlignment="1">
      <alignment horizontal="center" vertical="top"/>
    </xf>
    <xf numFmtId="0" fontId="4" fillId="0" borderId="2" xfId="1" applyFont="1" applyBorder="1">
      <alignment vertical="top"/>
    </xf>
    <xf numFmtId="0" fontId="4" fillId="0" borderId="4" xfId="1" applyFont="1" applyBorder="1">
      <alignment vertical="top"/>
    </xf>
    <xf numFmtId="173" fontId="17" fillId="0" borderId="3" xfId="8" applyNumberFormat="1" applyFont="1" applyBorder="1" applyAlignment="1">
      <alignment horizontal="center" vertical="top"/>
    </xf>
    <xf numFmtId="173" fontId="4" fillId="0" borderId="14" xfId="8" applyNumberFormat="1" applyFont="1" applyBorder="1" applyAlignment="1">
      <alignment horizontal="center" vertical="top"/>
    </xf>
    <xf numFmtId="168" fontId="4" fillId="0" borderId="12" xfId="1" applyNumberFormat="1" applyFont="1" applyBorder="1" applyAlignment="1">
      <alignment horizontal="center" vertical="top"/>
    </xf>
    <xf numFmtId="172" fontId="15" fillId="0" borderId="26" xfId="7" applyNumberFormat="1" applyFont="1" applyFill="1" applyBorder="1" applyAlignment="1">
      <alignment horizontal="center" vertical="top"/>
    </xf>
    <xf numFmtId="37" fontId="19" fillId="0" borderId="0" xfId="3" applyNumberFormat="1" applyFont="1" applyBorder="1" applyAlignment="1">
      <alignment horizontal="center" vertical="center"/>
    </xf>
    <xf numFmtId="37" fontId="19" fillId="0" borderId="13" xfId="3" applyNumberFormat="1" applyFont="1" applyBorder="1" applyAlignment="1">
      <alignment horizontal="center" vertical="center"/>
    </xf>
    <xf numFmtId="37" fontId="19" fillId="0" borderId="11" xfId="3" applyNumberFormat="1" applyFont="1" applyBorder="1" applyAlignment="1">
      <alignment horizontal="center" vertical="center"/>
    </xf>
    <xf numFmtId="37" fontId="13" fillId="0" borderId="0" xfId="3" applyNumberFormat="1" applyFont="1" applyBorder="1" applyAlignment="1">
      <alignment horizontal="center" vertical="center"/>
    </xf>
    <xf numFmtId="37" fontId="13" fillId="0" borderId="11" xfId="3" applyNumberFormat="1" applyFont="1" applyBorder="1" applyAlignment="1">
      <alignment horizontal="center" vertical="center"/>
    </xf>
    <xf numFmtId="185" fontId="31" fillId="0" borderId="0" xfId="9" applyNumberFormat="1" applyFont="1"/>
    <xf numFmtId="185" fontId="31" fillId="0" borderId="0" xfId="9" applyNumberFormat="1" applyFont="1" applyAlignment="1">
      <alignment horizontal="center"/>
    </xf>
    <xf numFmtId="182" fontId="41" fillId="0" borderId="0" xfId="1" applyNumberFormat="1" applyFont="1">
      <alignment vertical="top"/>
    </xf>
    <xf numFmtId="0" fontId="41" fillId="0" borderId="0" xfId="1" applyFont="1">
      <alignment vertical="top"/>
    </xf>
    <xf numFmtId="173" fontId="41" fillId="0" borderId="0" xfId="8" applyNumberFormat="1" applyFont="1" applyFill="1" applyAlignment="1">
      <alignment vertical="top"/>
    </xf>
    <xf numFmtId="37" fontId="41" fillId="0" borderId="0" xfId="1" applyNumberFormat="1" applyFont="1">
      <alignment vertical="top"/>
    </xf>
    <xf numFmtId="170" fontId="41" fillId="0" borderId="0" xfId="1" applyNumberFormat="1" applyFont="1">
      <alignment vertical="top"/>
    </xf>
    <xf numFmtId="165" fontId="42" fillId="0" borderId="11" xfId="1" applyNumberFormat="1" applyFont="1" applyBorder="1" applyAlignment="1">
      <alignment horizontal="center" vertical="top"/>
    </xf>
    <xf numFmtId="165" fontId="43" fillId="0" borderId="11" xfId="1" applyNumberFormat="1" applyFont="1" applyBorder="1" applyAlignment="1">
      <alignment horizontal="center" vertical="top"/>
    </xf>
    <xf numFmtId="168" fontId="17" fillId="0" borderId="0" xfId="1" applyNumberFormat="1" applyFont="1" applyAlignment="1">
      <alignment horizontal="center" vertical="top"/>
    </xf>
    <xf numFmtId="168" fontId="17" fillId="5" borderId="0" xfId="1" applyNumberFormat="1" applyFont="1" applyFill="1" applyAlignment="1">
      <alignment horizontal="center" vertical="top"/>
    </xf>
    <xf numFmtId="168" fontId="4" fillId="0" borderId="0" xfId="1" applyNumberFormat="1" applyFont="1" applyAlignment="1">
      <alignment horizontal="center" vertical="top"/>
    </xf>
    <xf numFmtId="168" fontId="4" fillId="5" borderId="0" xfId="1" applyNumberFormat="1" applyFont="1" applyFill="1" applyAlignment="1">
      <alignment horizontal="center" vertical="top"/>
    </xf>
    <xf numFmtId="172" fontId="30" fillId="0" borderId="34" xfId="1" applyNumberFormat="1" applyFont="1" applyBorder="1" applyAlignment="1">
      <alignment horizontal="center" vertical="top"/>
    </xf>
    <xf numFmtId="172" fontId="30" fillId="0" borderId="21" xfId="1" applyNumberFormat="1" applyFont="1" applyBorder="1" applyAlignment="1">
      <alignment horizontal="center" vertical="top"/>
    </xf>
    <xf numFmtId="172" fontId="30" fillId="0" borderId="35" xfId="1" applyNumberFormat="1" applyFont="1" applyBorder="1" applyAlignment="1">
      <alignment horizontal="center" vertical="top"/>
    </xf>
    <xf numFmtId="172" fontId="30" fillId="0" borderId="26" xfId="7" applyNumberFormat="1" applyFont="1" applyFill="1" applyBorder="1" applyAlignment="1">
      <alignment horizontal="center" vertical="top"/>
    </xf>
    <xf numFmtId="168" fontId="4" fillId="0" borderId="13" xfId="1" applyNumberFormat="1" applyFont="1" applyBorder="1" applyAlignment="1">
      <alignment horizontal="center" vertical="top"/>
    </xf>
    <xf numFmtId="172" fontId="30" fillId="0" borderId="12" xfId="1" applyNumberFormat="1" applyFont="1" applyBorder="1" applyAlignment="1">
      <alignment horizontal="center" vertical="top"/>
    </xf>
    <xf numFmtId="172" fontId="30" fillId="0" borderId="0" xfId="1" applyNumberFormat="1" applyFont="1" applyAlignment="1">
      <alignment horizontal="center" vertical="top"/>
    </xf>
    <xf numFmtId="172" fontId="30" fillId="0" borderId="13" xfId="1" applyNumberFormat="1" applyFont="1" applyBorder="1" applyAlignment="1">
      <alignment horizontal="center" vertical="top"/>
    </xf>
    <xf numFmtId="172" fontId="30" fillId="0" borderId="11" xfId="7" applyNumberFormat="1" applyFont="1" applyFill="1" applyBorder="1" applyAlignment="1">
      <alignment horizontal="center" vertical="top"/>
    </xf>
    <xf numFmtId="172" fontId="15" fillId="0" borderId="0" xfId="1" applyNumberFormat="1" applyFont="1" applyAlignment="1">
      <alignment horizontal="center" vertical="top"/>
    </xf>
    <xf numFmtId="168" fontId="8" fillId="5" borderId="0" xfId="1" applyNumberFormat="1" applyFont="1" applyFill="1" applyAlignment="1">
      <alignment horizontal="center" vertical="top"/>
    </xf>
    <xf numFmtId="172" fontId="15" fillId="5" borderId="0" xfId="1" applyNumberFormat="1" applyFont="1" applyFill="1" applyAlignment="1">
      <alignment horizontal="center" vertical="top"/>
    </xf>
    <xf numFmtId="172" fontId="30" fillId="3" borderId="0" xfId="1" applyNumberFormat="1" applyFont="1" applyFill="1" applyAlignment="1">
      <alignment horizontal="center" vertical="top"/>
    </xf>
    <xf numFmtId="172" fontId="30" fillId="3" borderId="11" xfId="7" applyNumberFormat="1" applyFont="1" applyFill="1" applyBorder="1" applyAlignment="1">
      <alignment horizontal="center" vertical="top"/>
    </xf>
    <xf numFmtId="37" fontId="17" fillId="0" borderId="14" xfId="1" applyNumberFormat="1" applyFont="1" applyBorder="1" applyAlignment="1">
      <alignment horizontal="center" vertical="top"/>
    </xf>
    <xf numFmtId="37" fontId="17" fillId="0" borderId="4" xfId="1" applyNumberFormat="1" applyFont="1" applyBorder="1" applyAlignment="1">
      <alignment horizontal="center" vertical="top"/>
    </xf>
    <xf numFmtId="174" fontId="12" fillId="0" borderId="13" xfId="1" applyNumberFormat="1" applyFont="1" applyBorder="1" applyAlignment="1">
      <alignment horizontal="left" indent="1"/>
    </xf>
    <xf numFmtId="172" fontId="44" fillId="0" borderId="0" xfId="7" applyNumberFormat="1" applyFont="1" applyBorder="1" applyAlignment="1">
      <alignment vertical="center"/>
    </xf>
    <xf numFmtId="172" fontId="44" fillId="0" borderId="12" xfId="7" applyNumberFormat="1" applyFont="1" applyFill="1" applyBorder="1" applyAlignment="1">
      <alignment vertical="center"/>
    </xf>
    <xf numFmtId="172" fontId="44" fillId="0" borderId="0" xfId="7" applyNumberFormat="1" applyFont="1" applyFill="1" applyBorder="1" applyAlignment="1">
      <alignment vertical="center"/>
    </xf>
    <xf numFmtId="172" fontId="44" fillId="0" borderId="13" xfId="7" applyNumberFormat="1" applyFont="1" applyFill="1" applyBorder="1" applyAlignment="1">
      <alignment vertical="center"/>
    </xf>
    <xf numFmtId="172" fontId="30" fillId="0" borderId="11" xfId="7" applyNumberFormat="1" applyFont="1" applyFill="1" applyBorder="1" applyAlignment="1">
      <alignment vertical="center"/>
    </xf>
    <xf numFmtId="172" fontId="30" fillId="0" borderId="34" xfId="7" applyNumberFormat="1" applyFont="1" applyFill="1" applyBorder="1" applyAlignment="1">
      <alignment vertical="center"/>
    </xf>
    <xf numFmtId="172" fontId="30" fillId="0" borderId="21" xfId="7" applyNumberFormat="1" applyFont="1" applyFill="1" applyBorder="1" applyAlignment="1">
      <alignment vertical="center"/>
    </xf>
    <xf numFmtId="172" fontId="30" fillId="0" borderId="35" xfId="7" applyNumberFormat="1" applyFont="1" applyFill="1" applyBorder="1" applyAlignment="1">
      <alignment vertical="center"/>
    </xf>
    <xf numFmtId="172" fontId="30" fillId="0" borderId="26" xfId="7" applyNumberFormat="1" applyFont="1" applyFill="1" applyBorder="1" applyAlignment="1">
      <alignment vertical="center"/>
    </xf>
    <xf numFmtId="174" fontId="8" fillId="0" borderId="24" xfId="1" applyNumberFormat="1" applyFont="1" applyBorder="1" applyAlignment="1"/>
    <xf numFmtId="168" fontId="8" fillId="0" borderId="2" xfId="1" applyNumberFormat="1" applyFont="1" applyBorder="1" applyAlignment="1">
      <alignment vertical="center"/>
    </xf>
    <xf numFmtId="168" fontId="8" fillId="0" borderId="3" xfId="1" applyNumberFormat="1" applyFont="1" applyBorder="1" applyAlignment="1">
      <alignment vertical="center"/>
    </xf>
    <xf numFmtId="168" fontId="8" fillId="0" borderId="4" xfId="1" applyNumberFormat="1" applyFont="1" applyBorder="1" applyAlignment="1">
      <alignment vertical="center"/>
    </xf>
    <xf numFmtId="168" fontId="18" fillId="0" borderId="21" xfId="1" applyNumberFormat="1" applyFont="1" applyBorder="1" applyAlignment="1">
      <alignment vertical="center"/>
    </xf>
    <xf numFmtId="168" fontId="18" fillId="0" borderId="26" xfId="1" applyNumberFormat="1" applyFont="1" applyBorder="1" applyAlignment="1">
      <alignment vertical="center"/>
    </xf>
    <xf numFmtId="172" fontId="44" fillId="0" borderId="11" xfId="7" applyNumberFormat="1" applyFont="1" applyBorder="1" applyAlignment="1">
      <alignment vertical="center"/>
    </xf>
    <xf numFmtId="172" fontId="44" fillId="0" borderId="0" xfId="7" applyNumberFormat="1" applyFont="1" applyAlignment="1">
      <alignment vertical="center"/>
    </xf>
    <xf numFmtId="172" fontId="44" fillId="0" borderId="11" xfId="7" applyNumberFormat="1" applyFont="1" applyFill="1" applyBorder="1" applyAlignment="1">
      <alignment vertical="center"/>
    </xf>
    <xf numFmtId="174" fontId="8" fillId="0" borderId="8" xfId="1" applyNumberFormat="1" applyFont="1" applyBorder="1" applyAlignment="1"/>
    <xf numFmtId="175" fontId="8" fillId="0" borderId="18" xfId="1" applyNumberFormat="1" applyFont="1" applyBorder="1" applyAlignment="1"/>
    <xf numFmtId="174" fontId="4" fillId="0" borderId="27" xfId="1" applyNumberFormat="1" applyFont="1" applyBorder="1" applyAlignment="1"/>
    <xf numFmtId="168" fontId="4" fillId="0" borderId="20" xfId="1" applyNumberFormat="1" applyFont="1" applyBorder="1" applyAlignment="1">
      <alignment vertical="center"/>
    </xf>
    <xf numFmtId="168" fontId="4" fillId="0" borderId="27" xfId="1" applyNumberFormat="1" applyFont="1" applyBorder="1" applyAlignment="1">
      <alignment vertical="center"/>
    </xf>
    <xf numFmtId="168" fontId="4" fillId="0" borderId="28" xfId="1" applyNumberFormat="1" applyFont="1" applyBorder="1" applyAlignment="1">
      <alignment vertical="center"/>
    </xf>
    <xf numFmtId="187" fontId="4" fillId="0" borderId="0" xfId="2" applyNumberFormat="1" applyFont="1"/>
    <xf numFmtId="188" fontId="4" fillId="0" borderId="0" xfId="1" applyNumberFormat="1" applyFont="1" applyAlignment="1">
      <alignment horizontal="center" vertical="center"/>
    </xf>
    <xf numFmtId="174" fontId="4" fillId="0" borderId="4" xfId="1" applyNumberFormat="1" applyFont="1" applyBorder="1" applyAlignment="1">
      <alignment horizontal="left" indent="1"/>
    </xf>
    <xf numFmtId="168" fontId="16" fillId="0" borderId="3" xfId="3" applyNumberFormat="1" applyFont="1" applyBorder="1" applyAlignment="1">
      <alignment vertical="center"/>
    </xf>
    <xf numFmtId="168" fontId="16" fillId="0" borderId="4" xfId="3" applyNumberFormat="1" applyFont="1" applyBorder="1" applyAlignment="1">
      <alignment vertical="center"/>
    </xf>
    <xf numFmtId="168" fontId="4" fillId="0" borderId="14" xfId="1" applyNumberFormat="1" applyFont="1" applyBorder="1" applyAlignment="1">
      <alignment vertical="center"/>
    </xf>
    <xf numFmtId="168" fontId="12" fillId="0" borderId="3" xfId="3" applyNumberFormat="1" applyFont="1" applyBorder="1" applyAlignment="1">
      <alignment vertical="center"/>
    </xf>
    <xf numFmtId="168" fontId="12" fillId="0" borderId="14" xfId="1" applyNumberFormat="1" applyFont="1" applyBorder="1" applyAlignment="1">
      <alignment vertical="center"/>
    </xf>
    <xf numFmtId="185" fontId="32" fillId="6" borderId="0" xfId="9" applyNumberFormat="1" applyFont="1" applyFill="1"/>
    <xf numFmtId="185" fontId="34" fillId="6" borderId="0" xfId="9" applyNumberFormat="1" applyFont="1" applyFill="1"/>
    <xf numFmtId="185" fontId="31" fillId="6" borderId="0" xfId="9" applyNumberFormat="1" applyFont="1" applyFill="1"/>
    <xf numFmtId="185" fontId="32" fillId="7" borderId="0" xfId="9" applyNumberFormat="1" applyFont="1" applyFill="1"/>
    <xf numFmtId="185" fontId="33" fillId="7" borderId="0" xfId="9" applyNumberFormat="1" applyFont="1" applyFill="1"/>
    <xf numFmtId="185" fontId="32" fillId="7" borderId="0" xfId="9" applyNumberFormat="1" applyFont="1" applyFill="1" applyAlignment="1">
      <alignment horizontal="center"/>
    </xf>
    <xf numFmtId="185" fontId="34" fillId="7" borderId="0" xfId="9" applyNumberFormat="1" applyFont="1" applyFill="1"/>
    <xf numFmtId="185" fontId="37" fillId="7" borderId="0" xfId="9" applyNumberFormat="1" applyFont="1" applyFill="1" applyBorder="1"/>
    <xf numFmtId="185" fontId="31" fillId="7" borderId="0" xfId="9" applyNumberFormat="1" applyFont="1" applyFill="1"/>
    <xf numFmtId="185" fontId="38" fillId="8" borderId="0" xfId="9" applyNumberFormat="1" applyFont="1" applyFill="1"/>
    <xf numFmtId="0" fontId="40" fillId="8" borderId="0" xfId="10" applyFont="1" applyFill="1" applyAlignment="1">
      <alignment vertical="center"/>
    </xf>
    <xf numFmtId="0" fontId="39" fillId="8" borderId="0" xfId="10" applyFont="1" applyFill="1"/>
    <xf numFmtId="185" fontId="38" fillId="8" borderId="0" xfId="9" applyNumberFormat="1" applyFont="1" applyFill="1" applyAlignment="1">
      <alignment horizontal="center"/>
    </xf>
    <xf numFmtId="0" fontId="33" fillId="8" borderId="0" xfId="10" applyFont="1" applyFill="1" applyAlignment="1">
      <alignment vertical="center"/>
    </xf>
    <xf numFmtId="9" fontId="4" fillId="0" borderId="0" xfId="13" applyFont="1" applyAlignment="1">
      <alignment vertical="top"/>
    </xf>
    <xf numFmtId="9" fontId="4" fillId="0" borderId="0" xfId="1" applyNumberFormat="1" applyFont="1">
      <alignment vertical="top"/>
    </xf>
    <xf numFmtId="185" fontId="32" fillId="7" borderId="36" xfId="9" applyNumberFormat="1" applyFont="1" applyFill="1" applyBorder="1"/>
    <xf numFmtId="185" fontId="32" fillId="7" borderId="20" xfId="9" applyNumberFormat="1" applyFont="1" applyFill="1" applyBorder="1"/>
    <xf numFmtId="185" fontId="32" fillId="7" borderId="37" xfId="9" applyNumberFormat="1" applyFont="1" applyFill="1" applyBorder="1"/>
    <xf numFmtId="185" fontId="32" fillId="6" borderId="38" xfId="9" applyNumberFormat="1" applyFont="1" applyFill="1" applyBorder="1"/>
    <xf numFmtId="185" fontId="32" fillId="6" borderId="0" xfId="9" applyNumberFormat="1" applyFont="1" applyFill="1" applyBorder="1"/>
    <xf numFmtId="185" fontId="49" fillId="8" borderId="0" xfId="9" applyNumberFormat="1" applyFont="1" applyFill="1" applyBorder="1"/>
    <xf numFmtId="185" fontId="32" fillId="8" borderId="39" xfId="9" applyNumberFormat="1" applyFont="1" applyFill="1" applyBorder="1"/>
    <xf numFmtId="185" fontId="49" fillId="8" borderId="40" xfId="9" applyNumberFormat="1" applyFont="1" applyFill="1" applyBorder="1"/>
    <xf numFmtId="185" fontId="32" fillId="8" borderId="21" xfId="9" applyNumberFormat="1" applyFont="1" applyFill="1" applyBorder="1"/>
    <xf numFmtId="190" fontId="49" fillId="8" borderId="21" xfId="9" applyNumberFormat="1" applyFont="1" applyFill="1" applyBorder="1"/>
    <xf numFmtId="185" fontId="32" fillId="8" borderId="41" xfId="9" applyNumberFormat="1" applyFont="1" applyFill="1" applyBorder="1"/>
    <xf numFmtId="185" fontId="37" fillId="8" borderId="36" xfId="9" applyNumberFormat="1" applyFont="1" applyFill="1" applyBorder="1"/>
    <xf numFmtId="185" fontId="34" fillId="8" borderId="20" xfId="9" applyNumberFormat="1" applyFont="1" applyFill="1" applyBorder="1"/>
    <xf numFmtId="185" fontId="34" fillId="8" borderId="37" xfId="9" applyNumberFormat="1" applyFont="1" applyFill="1" applyBorder="1"/>
    <xf numFmtId="9" fontId="34" fillId="6" borderId="39" xfId="11" applyFont="1" applyFill="1" applyBorder="1" applyAlignment="1">
      <alignment horizontal="right"/>
    </xf>
    <xf numFmtId="14" fontId="36" fillId="6" borderId="39" xfId="9" applyNumberFormat="1" applyFont="1" applyFill="1" applyBorder="1"/>
    <xf numFmtId="14" fontId="35" fillId="6" borderId="39" xfId="9" applyNumberFormat="1" applyFont="1" applyFill="1" applyBorder="1"/>
    <xf numFmtId="43" fontId="34" fillId="6" borderId="39" xfId="9" applyFont="1" applyFill="1" applyBorder="1" applyAlignment="1">
      <alignment horizontal="right"/>
    </xf>
    <xf numFmtId="186" fontId="34" fillId="6" borderId="39" xfId="9" applyNumberFormat="1" applyFont="1" applyFill="1" applyBorder="1" applyAlignment="1">
      <alignment horizontal="right"/>
    </xf>
    <xf numFmtId="185" fontId="31" fillId="6" borderId="0" xfId="9" applyNumberFormat="1" applyFont="1" applyFill="1" applyBorder="1"/>
    <xf numFmtId="172" fontId="34" fillId="6" borderId="39" xfId="11" applyNumberFormat="1" applyFont="1" applyFill="1" applyBorder="1" applyAlignment="1">
      <alignment horizontal="right"/>
    </xf>
    <xf numFmtId="185" fontId="32" fillId="6" borderId="40" xfId="9" applyNumberFormat="1" applyFont="1" applyFill="1" applyBorder="1"/>
    <xf numFmtId="185" fontId="31" fillId="6" borderId="21" xfId="9" applyNumberFormat="1" applyFont="1" applyFill="1" applyBorder="1"/>
    <xf numFmtId="172" fontId="34" fillId="6" borderId="41" xfId="11" applyNumberFormat="1" applyFont="1" applyFill="1" applyBorder="1" applyAlignment="1">
      <alignment horizontal="right"/>
    </xf>
    <xf numFmtId="185" fontId="37" fillId="8" borderId="20" xfId="9" applyNumberFormat="1" applyFont="1" applyFill="1" applyBorder="1"/>
    <xf numFmtId="185" fontId="37" fillId="8" borderId="37" xfId="9" applyNumberFormat="1" applyFont="1" applyFill="1" applyBorder="1"/>
    <xf numFmtId="43" fontId="34" fillId="6" borderId="0" xfId="9" applyFont="1" applyFill="1" applyBorder="1" applyAlignment="1">
      <alignment horizontal="right"/>
    </xf>
    <xf numFmtId="43" fontId="34" fillId="6" borderId="21" xfId="9" applyFont="1" applyFill="1" applyBorder="1" applyAlignment="1">
      <alignment horizontal="right"/>
    </xf>
    <xf numFmtId="9" fontId="34" fillId="6" borderId="41" xfId="11" applyFont="1" applyFill="1" applyBorder="1" applyAlignment="1">
      <alignment horizontal="right"/>
    </xf>
    <xf numFmtId="9" fontId="34" fillId="7" borderId="0" xfId="11" applyFont="1" applyFill="1" applyBorder="1" applyAlignment="1">
      <alignment horizontal="right"/>
    </xf>
    <xf numFmtId="185" fontId="32" fillId="8" borderId="38" xfId="9" applyNumberFormat="1" applyFont="1" applyFill="1" applyBorder="1"/>
    <xf numFmtId="185" fontId="32" fillId="8" borderId="0" xfId="9" applyNumberFormat="1" applyFont="1" applyFill="1" applyBorder="1"/>
    <xf numFmtId="190" fontId="32" fillId="6" borderId="0" xfId="9" applyNumberFormat="1" applyFont="1" applyFill="1" applyBorder="1"/>
    <xf numFmtId="185" fontId="32" fillId="6" borderId="39" xfId="9" applyNumberFormat="1" applyFont="1" applyFill="1" applyBorder="1"/>
    <xf numFmtId="185" fontId="32" fillId="7" borderId="0" xfId="9" applyNumberFormat="1" applyFont="1" applyFill="1" applyBorder="1"/>
    <xf numFmtId="185" fontId="31" fillId="7" borderId="0" xfId="9" applyNumberFormat="1" applyFont="1" applyFill="1" applyBorder="1"/>
    <xf numFmtId="185" fontId="31" fillId="7" borderId="39" xfId="9" applyNumberFormat="1" applyFont="1" applyFill="1" applyBorder="1"/>
    <xf numFmtId="185" fontId="32" fillId="6" borderId="36" xfId="9" applyNumberFormat="1" applyFont="1" applyFill="1" applyBorder="1"/>
    <xf numFmtId="185" fontId="32" fillId="6" borderId="20" xfId="9" applyNumberFormat="1" applyFont="1" applyFill="1" applyBorder="1"/>
    <xf numFmtId="185" fontId="31" fillId="6" borderId="20" xfId="9" applyNumberFormat="1" applyFont="1" applyFill="1" applyBorder="1"/>
    <xf numFmtId="185" fontId="31" fillId="6" borderId="37" xfId="9" applyNumberFormat="1" applyFont="1" applyFill="1" applyBorder="1"/>
    <xf numFmtId="185" fontId="31" fillId="6" borderId="39" xfId="9" applyNumberFormat="1" applyFont="1" applyFill="1" applyBorder="1"/>
    <xf numFmtId="185" fontId="32" fillId="6" borderId="21" xfId="9" applyNumberFormat="1" applyFont="1" applyFill="1" applyBorder="1"/>
    <xf numFmtId="185" fontId="31" fillId="6" borderId="41" xfId="9" applyNumberFormat="1" applyFont="1" applyFill="1" applyBorder="1"/>
    <xf numFmtId="185" fontId="31" fillId="8" borderId="0" xfId="9" applyNumberFormat="1" applyFont="1" applyFill="1"/>
    <xf numFmtId="0" fontId="8" fillId="0" borderId="0" xfId="2" applyFont="1"/>
    <xf numFmtId="191" fontId="4" fillId="0" borderId="0" xfId="2" applyNumberFormat="1" applyFont="1"/>
    <xf numFmtId="190" fontId="31" fillId="0" borderId="0" xfId="9" applyNumberFormat="1" applyFont="1"/>
    <xf numFmtId="2" fontId="32" fillId="7" borderId="0" xfId="9" applyNumberFormat="1" applyFont="1" applyFill="1"/>
    <xf numFmtId="185" fontId="31" fillId="6" borderId="36" xfId="9" applyNumberFormat="1" applyFont="1" applyFill="1" applyBorder="1"/>
    <xf numFmtId="185" fontId="31" fillId="6" borderId="38" xfId="9" applyNumberFormat="1" applyFont="1" applyFill="1" applyBorder="1"/>
    <xf numFmtId="185" fontId="31" fillId="6" borderId="38" xfId="9" applyNumberFormat="1" applyFont="1" applyFill="1" applyBorder="1" applyAlignment="1"/>
    <xf numFmtId="185" fontId="31" fillId="6" borderId="40" xfId="9" applyNumberFormat="1" applyFont="1" applyFill="1" applyBorder="1"/>
    <xf numFmtId="185" fontId="48" fillId="6" borderId="38" xfId="9" applyNumberFormat="1" applyFont="1" applyFill="1" applyBorder="1"/>
    <xf numFmtId="185" fontId="48" fillId="8" borderId="38" xfId="9" applyNumberFormat="1" applyFont="1" applyFill="1" applyBorder="1"/>
    <xf numFmtId="192" fontId="49" fillId="8" borderId="0" xfId="9" applyNumberFormat="1" applyFont="1" applyFill="1" applyBorder="1" applyAlignment="1">
      <alignment horizontal="left"/>
    </xf>
    <xf numFmtId="185" fontId="48" fillId="6" borderId="0" xfId="9" applyNumberFormat="1" applyFont="1" applyFill="1"/>
    <xf numFmtId="185" fontId="48" fillId="6" borderId="42" xfId="9" applyNumberFormat="1" applyFont="1" applyFill="1" applyBorder="1"/>
    <xf numFmtId="172" fontId="31" fillId="6" borderId="39" xfId="13" applyNumberFormat="1" applyFont="1" applyFill="1" applyBorder="1"/>
    <xf numFmtId="189" fontId="31" fillId="6" borderId="39" xfId="9" applyNumberFormat="1" applyFont="1" applyFill="1" applyBorder="1"/>
    <xf numFmtId="185" fontId="48" fillId="6" borderId="36" xfId="9" applyNumberFormat="1" applyFont="1" applyFill="1" applyBorder="1"/>
    <xf numFmtId="172" fontId="48" fillId="6" borderId="37" xfId="13" applyNumberFormat="1" applyFont="1" applyFill="1" applyBorder="1" applyAlignment="1">
      <alignment horizontal="left" indent="2"/>
    </xf>
    <xf numFmtId="185" fontId="31" fillId="8" borderId="0" xfId="9" applyNumberFormat="1" applyFont="1" applyFill="1" applyBorder="1"/>
    <xf numFmtId="185" fontId="48" fillId="7" borderId="0" xfId="9" applyNumberFormat="1" applyFont="1" applyFill="1"/>
    <xf numFmtId="9" fontId="48" fillId="7" borderId="0" xfId="13" applyFont="1" applyFill="1"/>
    <xf numFmtId="9" fontId="31" fillId="7" borderId="0" xfId="9" applyNumberFormat="1" applyFont="1" applyFill="1"/>
    <xf numFmtId="0" fontId="46" fillId="8" borderId="36" xfId="0" applyFont="1" applyFill="1" applyBorder="1"/>
    <xf numFmtId="1" fontId="48" fillId="8" borderId="20" xfId="9" applyNumberFormat="1" applyFont="1" applyFill="1" applyBorder="1"/>
    <xf numFmtId="185" fontId="48" fillId="8" borderId="20" xfId="9" applyNumberFormat="1" applyFont="1" applyFill="1" applyBorder="1"/>
    <xf numFmtId="185" fontId="48" fillId="8" borderId="37" xfId="9" applyNumberFormat="1" applyFont="1" applyFill="1" applyBorder="1"/>
    <xf numFmtId="0" fontId="46" fillId="8" borderId="38" xfId="0" applyFont="1" applyFill="1" applyBorder="1"/>
    <xf numFmtId="1" fontId="0" fillId="7" borderId="0" xfId="0" applyNumberFormat="1" applyFill="1"/>
    <xf numFmtId="1" fontId="0" fillId="7" borderId="39" xfId="0" applyNumberFormat="1" applyFill="1" applyBorder="1"/>
    <xf numFmtId="0" fontId="0" fillId="7" borderId="21" xfId="0" applyFill="1" applyBorder="1"/>
    <xf numFmtId="0" fontId="0" fillId="7" borderId="41" xfId="0" applyFill="1" applyBorder="1"/>
    <xf numFmtId="1" fontId="46" fillId="8" borderId="0" xfId="0" applyNumberFormat="1" applyFont="1" applyFill="1"/>
    <xf numFmtId="0" fontId="0" fillId="7" borderId="40" xfId="0" applyFill="1" applyBorder="1"/>
    <xf numFmtId="0" fontId="46" fillId="8" borderId="40" xfId="0" applyFont="1" applyFill="1" applyBorder="1"/>
    <xf numFmtId="0" fontId="0" fillId="8" borderId="21" xfId="0" applyFill="1" applyBorder="1"/>
    <xf numFmtId="1" fontId="46" fillId="8" borderId="21" xfId="0" applyNumberFormat="1" applyFont="1" applyFill="1" applyBorder="1"/>
    <xf numFmtId="1" fontId="46" fillId="8" borderId="41" xfId="0" applyNumberFormat="1" applyFont="1" applyFill="1" applyBorder="1"/>
    <xf numFmtId="0" fontId="46" fillId="7" borderId="38" xfId="0" applyFont="1" applyFill="1" applyBorder="1"/>
    <xf numFmtId="185" fontId="31" fillId="8" borderId="38" xfId="9" applyNumberFormat="1" applyFont="1" applyFill="1" applyBorder="1"/>
    <xf numFmtId="185" fontId="31" fillId="8" borderId="39" xfId="9" applyNumberFormat="1" applyFont="1" applyFill="1" applyBorder="1"/>
    <xf numFmtId="185" fontId="48" fillId="6" borderId="40" xfId="9" applyNumberFormat="1" applyFont="1" applyFill="1" applyBorder="1"/>
    <xf numFmtId="9" fontId="31" fillId="7" borderId="0" xfId="9" applyNumberFormat="1" applyFont="1" applyFill="1" applyBorder="1"/>
    <xf numFmtId="9" fontId="31" fillId="7" borderId="39" xfId="9" applyNumberFormat="1" applyFont="1" applyFill="1" applyBorder="1"/>
    <xf numFmtId="185" fontId="48" fillId="8" borderId="40" xfId="9" applyNumberFormat="1" applyFont="1" applyFill="1" applyBorder="1"/>
    <xf numFmtId="185" fontId="31" fillId="8" borderId="21" xfId="9" applyNumberFormat="1" applyFont="1" applyFill="1" applyBorder="1"/>
    <xf numFmtId="185" fontId="48" fillId="8" borderId="21" xfId="9" applyNumberFormat="1" applyFont="1" applyFill="1" applyBorder="1"/>
    <xf numFmtId="185" fontId="48" fillId="8" borderId="41" xfId="9" applyNumberFormat="1" applyFont="1" applyFill="1" applyBorder="1"/>
    <xf numFmtId="185" fontId="48" fillId="6" borderId="20" xfId="9" applyNumberFormat="1" applyFont="1" applyFill="1" applyBorder="1"/>
    <xf numFmtId="1" fontId="48" fillId="6" borderId="20" xfId="9" applyNumberFormat="1" applyFont="1" applyFill="1" applyBorder="1"/>
    <xf numFmtId="185" fontId="48" fillId="6" borderId="37" xfId="9" applyNumberFormat="1" applyFont="1" applyFill="1" applyBorder="1"/>
    <xf numFmtId="185" fontId="31" fillId="0" borderId="0" xfId="9" applyNumberFormat="1" applyFont="1" applyFill="1"/>
    <xf numFmtId="185" fontId="48" fillId="6" borderId="43" xfId="9" applyNumberFormat="1" applyFont="1" applyFill="1" applyBorder="1"/>
    <xf numFmtId="44" fontId="48" fillId="6" borderId="43" xfId="12" applyFont="1" applyFill="1" applyBorder="1"/>
    <xf numFmtId="185" fontId="48" fillId="0" borderId="0" xfId="9" applyNumberFormat="1" applyFont="1" applyFill="1" applyBorder="1"/>
    <xf numFmtId="185" fontId="31" fillId="0" borderId="0" xfId="9" applyNumberFormat="1" applyFont="1" applyFill="1" applyBorder="1"/>
    <xf numFmtId="185" fontId="48" fillId="7" borderId="0" xfId="9" applyNumberFormat="1" applyFont="1" applyFill="1" applyBorder="1"/>
    <xf numFmtId="185" fontId="48" fillId="0" borderId="0" xfId="9" applyNumberFormat="1" applyFont="1" applyFill="1"/>
    <xf numFmtId="185" fontId="32" fillId="0" borderId="0" xfId="9" applyNumberFormat="1" applyFont="1" applyFill="1"/>
    <xf numFmtId="185" fontId="32" fillId="0" borderId="0" xfId="9" applyNumberFormat="1" applyFont="1" applyFill="1" applyBorder="1"/>
    <xf numFmtId="185" fontId="47" fillId="6" borderId="0" xfId="9" applyNumberFormat="1" applyFont="1" applyFill="1"/>
    <xf numFmtId="185" fontId="48" fillId="6" borderId="0" xfId="9" applyNumberFormat="1" applyFont="1" applyFill="1" applyAlignment="1">
      <alignment horizontal="center"/>
    </xf>
    <xf numFmtId="185" fontId="31" fillId="6" borderId="0" xfId="9" applyNumberFormat="1" applyFont="1" applyFill="1" applyAlignment="1">
      <alignment horizontal="center"/>
    </xf>
    <xf numFmtId="185" fontId="31" fillId="6" borderId="0" xfId="9" applyNumberFormat="1" applyFont="1" applyFill="1" applyAlignment="1">
      <alignment horizontal="right"/>
    </xf>
    <xf numFmtId="189" fontId="31" fillId="6" borderId="0" xfId="9" applyNumberFormat="1" applyFont="1" applyFill="1" applyAlignment="1">
      <alignment horizontal="center"/>
    </xf>
    <xf numFmtId="9" fontId="31" fillId="6" borderId="0" xfId="13" applyFont="1" applyFill="1" applyAlignment="1">
      <alignment horizontal="right"/>
    </xf>
    <xf numFmtId="193" fontId="48" fillId="6" borderId="43" xfId="12" applyNumberFormat="1" applyFont="1" applyFill="1" applyBorder="1"/>
    <xf numFmtId="189" fontId="31" fillId="8" borderId="39" xfId="9" applyNumberFormat="1" applyFont="1" applyFill="1" applyBorder="1"/>
    <xf numFmtId="190" fontId="48" fillId="8" borderId="39" xfId="9" applyNumberFormat="1" applyFont="1" applyFill="1" applyBorder="1"/>
    <xf numFmtId="194" fontId="48" fillId="6" borderId="41" xfId="13" applyNumberFormat="1" applyFont="1" applyFill="1" applyBorder="1"/>
    <xf numFmtId="9" fontId="31" fillId="6" borderId="39" xfId="13" applyFont="1" applyFill="1" applyBorder="1"/>
    <xf numFmtId="37" fontId="3" fillId="0" borderId="0" xfId="1" applyNumberFormat="1" applyFont="1" applyAlignment="1">
      <alignment horizontal="left"/>
    </xf>
    <xf numFmtId="168" fontId="5" fillId="0" borderId="0" xfId="1" applyNumberFormat="1" applyFont="1" applyAlignment="1">
      <alignment horizontal="left" vertical="top" indent="4"/>
    </xf>
    <xf numFmtId="0" fontId="6" fillId="0" borderId="0" xfId="1" applyFont="1" applyAlignment="1">
      <alignment horizontal="center" vertical="top"/>
    </xf>
    <xf numFmtId="0" fontId="3" fillId="2" borderId="1" xfId="1" applyFont="1" applyFill="1" applyBorder="1" applyAlignment="1">
      <alignment horizontal="left" vertical="center"/>
    </xf>
    <xf numFmtId="0" fontId="3" fillId="2" borderId="5" xfId="1" applyFont="1" applyFill="1" applyBorder="1" applyAlignment="1">
      <alignment horizontal="left" vertical="center"/>
    </xf>
  </cellXfs>
  <cellStyles count="14">
    <cellStyle name="% 2" xfId="4" xr:uid="{00000000-0005-0000-0000-000000000000}"/>
    <cellStyle name="Comma 2" xfId="8" xr:uid="{00000000-0005-0000-0000-000002000000}"/>
    <cellStyle name="Comma 3" xfId="9" xr:uid="{BAB5467A-C344-4100-AC5E-8921E15E2C0C}"/>
    <cellStyle name="Currency" xfId="12" builtinId="4"/>
    <cellStyle name="Currency 2" xfId="5" xr:uid="{00000000-0005-0000-0000-000004000000}"/>
    <cellStyle name="Normal" xfId="0" builtinId="0"/>
    <cellStyle name="Normal 2" xfId="1" xr:uid="{00000000-0005-0000-0000-000006000000}"/>
    <cellStyle name="Normal 3" xfId="10" xr:uid="{1B53D25A-0F5E-46D1-ACF1-D3F60BC83E87}"/>
    <cellStyle name="Normal_ccic model LATEST18 in GS Exhibit Format" xfId="2" xr:uid="{00000000-0005-0000-0000-000007000000}"/>
    <cellStyle name="Per cent" xfId="13" builtinId="5"/>
    <cellStyle name="Percent 2" xfId="7" xr:uid="{00000000-0005-0000-0000-00000C000000}"/>
    <cellStyle name="Percent 2 2" xfId="6" xr:uid="{00000000-0005-0000-0000-00000D000000}"/>
    <cellStyle name="Percent 3" xfId="11" xr:uid="{B522004C-898C-492C-BAA6-737B0E15ED11}"/>
    <cellStyle name="Percent 5" xfId="3" xr:uid="{00000000-0005-0000-0000-00000E000000}"/>
  </cellStyles>
  <dxfs count="0"/>
  <tableStyles count="0" defaultTableStyle="TableStyleMedium9" defaultPivotStyle="PivotStyleMedium7"/>
  <colors>
    <mruColors>
      <color rgb="FFFCFEC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png"/><Relationship Id="rId1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246955</xdr:colOff>
      <xdr:row>27</xdr:row>
      <xdr:rowOff>60960</xdr:rowOff>
    </xdr:from>
    <xdr:to>
      <xdr:col>4</xdr:col>
      <xdr:colOff>626114</xdr:colOff>
      <xdr:row>33</xdr:row>
      <xdr:rowOff>183677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BB0364F-78F8-A0F0-03FF-6915DDC998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0795" y="4328160"/>
          <a:ext cx="3155379" cy="1341917"/>
        </a:xfrm>
        <a:prstGeom prst="rect">
          <a:avLst/>
        </a:prstGeom>
      </xdr:spPr>
    </xdr:pic>
    <xdr:clientData/>
  </xdr:twoCellAnchor>
  <xdr:twoCellAnchor editAs="oneCell">
    <xdr:from>
      <xdr:col>5</xdr:col>
      <xdr:colOff>162264</xdr:colOff>
      <xdr:row>27</xdr:row>
      <xdr:rowOff>193040</xdr:rowOff>
    </xdr:from>
    <xdr:to>
      <xdr:col>8</xdr:col>
      <xdr:colOff>178524</xdr:colOff>
      <xdr:row>33</xdr:row>
      <xdr:rowOff>185772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54E4311-C120-13C6-40B3-E3AD14FBFB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87784" y="4460240"/>
          <a:ext cx="2566420" cy="1211932"/>
        </a:xfrm>
        <a:prstGeom prst="rect">
          <a:avLst/>
        </a:prstGeom>
      </xdr:spPr>
    </xdr:pic>
    <xdr:clientData/>
  </xdr:twoCellAnchor>
  <xdr:twoCellAnchor editAs="oneCell">
    <xdr:from>
      <xdr:col>1</xdr:col>
      <xdr:colOff>264160</xdr:colOff>
      <xdr:row>19</xdr:row>
      <xdr:rowOff>71120</xdr:rowOff>
    </xdr:from>
    <xdr:to>
      <xdr:col>3</xdr:col>
      <xdr:colOff>731520</xdr:colOff>
      <xdr:row>22</xdr:row>
      <xdr:rowOff>147320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04C707F-E8FA-88AD-6814-4A68B10E92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08000" y="2915920"/>
          <a:ext cx="2400300" cy="685800"/>
        </a:xfrm>
        <a:prstGeom prst="rect">
          <a:avLst/>
        </a:prstGeom>
      </xdr:spPr>
    </xdr:pic>
    <xdr:clientData/>
  </xdr:twoCellAnchor>
  <xdr:twoCellAnchor editAs="oneCell">
    <xdr:from>
      <xdr:col>1</xdr:col>
      <xdr:colOff>213360</xdr:colOff>
      <xdr:row>43</xdr:row>
      <xdr:rowOff>71120</xdr:rowOff>
    </xdr:from>
    <xdr:to>
      <xdr:col>3</xdr:col>
      <xdr:colOff>595434</xdr:colOff>
      <xdr:row>45</xdr:row>
      <xdr:rowOff>152400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7F74B77-CAB9-D848-B734-BC75319596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57200" y="7995920"/>
          <a:ext cx="2322634" cy="487680"/>
        </a:xfrm>
        <a:prstGeom prst="rect">
          <a:avLst/>
        </a:prstGeom>
      </xdr:spPr>
    </xdr:pic>
    <xdr:clientData/>
  </xdr:twoCellAnchor>
  <xdr:twoCellAnchor editAs="oneCell">
    <xdr:from>
      <xdr:col>1</xdr:col>
      <xdr:colOff>172720</xdr:colOff>
      <xdr:row>50</xdr:row>
      <xdr:rowOff>133506</xdr:rowOff>
    </xdr:from>
    <xdr:to>
      <xdr:col>4</xdr:col>
      <xdr:colOff>772160</xdr:colOff>
      <xdr:row>53</xdr:row>
      <xdr:rowOff>160019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9AA29F43-1899-892B-D7FB-E9F14FF30B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16560" y="9480706"/>
          <a:ext cx="3383280" cy="636113"/>
        </a:xfrm>
        <a:prstGeom prst="rect">
          <a:avLst/>
        </a:prstGeom>
      </xdr:spPr>
    </xdr:pic>
    <xdr:clientData/>
  </xdr:twoCellAnchor>
  <xdr:twoCellAnchor editAs="oneCell">
    <xdr:from>
      <xdr:col>1</xdr:col>
      <xdr:colOff>132080</xdr:colOff>
      <xdr:row>60</xdr:row>
      <xdr:rowOff>101600</xdr:rowOff>
    </xdr:from>
    <xdr:to>
      <xdr:col>6</xdr:col>
      <xdr:colOff>161742</xdr:colOff>
      <xdr:row>63</xdr:row>
      <xdr:rowOff>130351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AF49DAF3-687F-A6E8-6488-5AB15249DC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75920" y="11480800"/>
          <a:ext cx="4571182" cy="638351"/>
        </a:xfrm>
        <a:prstGeom prst="rect">
          <a:avLst/>
        </a:prstGeom>
      </xdr:spPr>
    </xdr:pic>
    <xdr:clientData/>
  </xdr:twoCellAnchor>
  <xdr:twoCellAnchor editAs="oneCell">
    <xdr:from>
      <xdr:col>1</xdr:col>
      <xdr:colOff>81280</xdr:colOff>
      <xdr:row>66</xdr:row>
      <xdr:rowOff>152400</xdr:rowOff>
    </xdr:from>
    <xdr:to>
      <xdr:col>6</xdr:col>
      <xdr:colOff>409690</xdr:colOff>
      <xdr:row>71</xdr:row>
      <xdr:rowOff>187960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7068141-0FCF-9A0E-EC5D-E793B7FA6D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25120" y="12750800"/>
          <a:ext cx="4869930" cy="1051560"/>
        </a:xfrm>
        <a:prstGeom prst="rect">
          <a:avLst/>
        </a:prstGeom>
      </xdr:spPr>
    </xdr:pic>
    <xdr:clientData/>
  </xdr:twoCellAnchor>
  <xdr:twoCellAnchor editAs="oneCell">
    <xdr:from>
      <xdr:col>2</xdr:col>
      <xdr:colOff>294640</xdr:colOff>
      <xdr:row>72</xdr:row>
      <xdr:rowOff>81280</xdr:rowOff>
    </xdr:from>
    <xdr:to>
      <xdr:col>7</xdr:col>
      <xdr:colOff>61504</xdr:colOff>
      <xdr:row>76</xdr:row>
      <xdr:rowOff>182880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50D6A91-F09C-E6FE-B1D7-A4DCCDE804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402080" y="13898880"/>
          <a:ext cx="4237264" cy="914400"/>
        </a:xfrm>
        <a:prstGeom prst="rect">
          <a:avLst/>
        </a:prstGeom>
      </xdr:spPr>
    </xdr:pic>
    <xdr:clientData/>
  </xdr:twoCellAnchor>
  <xdr:twoCellAnchor editAs="oneCell">
    <xdr:from>
      <xdr:col>3</xdr:col>
      <xdr:colOff>355600</xdr:colOff>
      <xdr:row>77</xdr:row>
      <xdr:rowOff>81280</xdr:rowOff>
    </xdr:from>
    <xdr:to>
      <xdr:col>6</xdr:col>
      <xdr:colOff>436880</xdr:colOff>
      <xdr:row>79</xdr:row>
      <xdr:rowOff>88272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62FA19B-27FF-FA97-55C6-30116EA712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540000" y="14914880"/>
          <a:ext cx="2682240" cy="41339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205093</xdr:colOff>
      <xdr:row>16</xdr:row>
      <xdr:rowOff>26650</xdr:rowOff>
    </xdr:from>
    <xdr:to>
      <xdr:col>6</xdr:col>
      <xdr:colOff>23665</xdr:colOff>
      <xdr:row>20</xdr:row>
      <xdr:rowOff>126407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42A6781-136E-7CF3-75C4-76375B183F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5093" y="2897954"/>
          <a:ext cx="5064224" cy="920129"/>
        </a:xfrm>
        <a:prstGeom prst="rect">
          <a:avLst/>
        </a:prstGeom>
      </xdr:spPr>
    </xdr:pic>
    <xdr:clientData/>
  </xdr:twoCellAnchor>
  <xdr:twoCellAnchor editAs="oneCell">
    <xdr:from>
      <xdr:col>0</xdr:col>
      <xdr:colOff>81696</xdr:colOff>
      <xdr:row>3</xdr:row>
      <xdr:rowOff>200525</xdr:rowOff>
    </xdr:from>
    <xdr:to>
      <xdr:col>7</xdr:col>
      <xdr:colOff>338748</xdr:colOff>
      <xdr:row>7</xdr:row>
      <xdr:rowOff>7277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BEF9F9A-1A2E-E427-AACB-51C07B1F2B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1696" y="802104"/>
          <a:ext cx="6309976" cy="60885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B6656-4D68-425D-BAF4-C3AF2642EFCD}">
  <dimension ref="A1:BO87"/>
  <sheetViews>
    <sheetView showGridLines="0" tabSelected="1" topLeftCell="AW1" zoomScale="143" zoomScaleNormal="100" workbookViewId="0">
      <selection activeCell="AU19" sqref="AU19"/>
    </sheetView>
  </sheetViews>
  <sheetFormatPr baseColWidth="10" defaultColWidth="8.1640625" defaultRowHeight="16" x14ac:dyDescent="0.2"/>
  <cols>
    <col min="1" max="1" width="3.1640625" style="256" customWidth="1"/>
    <col min="2" max="2" width="11.33203125" style="256" customWidth="1"/>
    <col min="3" max="3" width="14.1640625" style="256" customWidth="1"/>
    <col min="4" max="4" width="11" style="257" customWidth="1"/>
    <col min="5" max="5" width="10.33203125" style="256" customWidth="1"/>
    <col min="6" max="6" width="12.6640625" style="256" bestFit="1" customWidth="1"/>
    <col min="7" max="11" width="10.33203125" style="256" customWidth="1"/>
    <col min="12" max="14" width="11.33203125" style="256" customWidth="1"/>
    <col min="15" max="15" width="17" style="256" customWidth="1"/>
    <col min="16" max="16" width="11.33203125" style="256" customWidth="1"/>
    <col min="17" max="26" width="8.1640625" style="256"/>
    <col min="27" max="27" width="13.6640625" style="256" customWidth="1"/>
    <col min="28" max="46" width="8.1640625" style="256"/>
    <col min="47" max="47" width="25.33203125" style="256" customWidth="1"/>
    <col min="48" max="48" width="9.6640625" style="256" customWidth="1"/>
    <col min="49" max="49" width="10.33203125" style="256" customWidth="1"/>
    <col min="50" max="50" width="9.5" style="256" customWidth="1"/>
    <col min="51" max="51" width="10.6640625" style="256" customWidth="1"/>
    <col min="52" max="52" width="10.5" style="256" customWidth="1"/>
    <col min="53" max="53" width="9.5" style="256" customWidth="1"/>
    <col min="54" max="54" width="10" style="256" customWidth="1"/>
    <col min="55" max="55" width="8.1640625" style="256"/>
    <col min="56" max="56" width="17" style="256" customWidth="1"/>
    <col min="57" max="57" width="10.5" style="256" bestFit="1" customWidth="1"/>
    <col min="58" max="58" width="8.1640625" style="256"/>
    <col min="59" max="60" width="8.1640625" style="256" customWidth="1"/>
    <col min="61" max="16384" width="8.1640625" style="256"/>
  </cols>
  <sheetData>
    <row r="1" spans="1:67" x14ac:dyDescent="0.2">
      <c r="A1" s="327"/>
      <c r="B1" s="331" t="s">
        <v>77</v>
      </c>
      <c r="C1" s="329"/>
      <c r="D1" s="329"/>
      <c r="E1" s="329"/>
      <c r="F1" s="330"/>
      <c r="G1" s="330"/>
      <c r="H1" s="327"/>
      <c r="I1" s="327"/>
      <c r="J1" s="328"/>
      <c r="K1" s="328"/>
      <c r="L1" s="329"/>
      <c r="M1" s="329"/>
      <c r="N1" s="329"/>
      <c r="O1" s="330"/>
      <c r="P1" s="330"/>
      <c r="Q1" s="378"/>
      <c r="R1" s="378"/>
      <c r="S1" s="378"/>
      <c r="T1" s="378"/>
      <c r="U1" s="378"/>
      <c r="V1" s="378"/>
      <c r="W1" s="378"/>
      <c r="X1" s="378"/>
      <c r="Y1" s="378"/>
      <c r="Z1" s="378"/>
      <c r="AA1" s="378"/>
      <c r="AB1" s="378"/>
      <c r="AC1" s="378"/>
      <c r="AD1" s="378"/>
      <c r="AE1" s="378"/>
      <c r="AF1" s="378"/>
      <c r="AG1" s="378"/>
      <c r="AH1" s="378"/>
      <c r="AI1" s="378"/>
      <c r="AJ1" s="378"/>
      <c r="AK1" s="378"/>
      <c r="AL1" s="378"/>
      <c r="AM1" s="378"/>
      <c r="AN1" s="378"/>
      <c r="AO1" s="378"/>
      <c r="AP1" s="378"/>
      <c r="AQ1" s="378"/>
      <c r="AR1" s="378"/>
      <c r="AS1" s="378"/>
      <c r="AT1" s="378"/>
      <c r="AU1" s="378"/>
      <c r="AV1" s="378"/>
      <c r="AW1" s="378"/>
      <c r="AX1" s="378"/>
      <c r="AY1" s="378"/>
      <c r="AZ1" s="378"/>
      <c r="BA1" s="378"/>
      <c r="BB1" s="378"/>
      <c r="BC1" s="378"/>
      <c r="BD1" s="378"/>
      <c r="BE1" s="378"/>
      <c r="BF1" s="378"/>
      <c r="BG1" s="378"/>
      <c r="BH1" s="378"/>
      <c r="BI1" s="378"/>
      <c r="BJ1" s="378"/>
      <c r="BK1" s="378"/>
      <c r="BL1" s="428"/>
      <c r="BM1" s="428"/>
      <c r="BN1" s="428"/>
      <c r="BO1" s="428"/>
    </row>
    <row r="2" spans="1:67" x14ac:dyDescent="0.2">
      <c r="A2" s="321"/>
      <c r="B2" s="322"/>
      <c r="C2" s="321"/>
      <c r="D2" s="323"/>
      <c r="E2" s="324"/>
      <c r="F2" s="324"/>
      <c r="G2" s="324"/>
      <c r="H2" s="324"/>
      <c r="I2" s="324"/>
      <c r="J2" s="324"/>
      <c r="K2" s="324"/>
      <c r="L2" s="321"/>
      <c r="M2" s="321"/>
      <c r="N2" s="321"/>
      <c r="O2" s="321"/>
      <c r="P2" s="321"/>
      <c r="Q2" s="321"/>
      <c r="R2" s="326"/>
      <c r="S2" s="326"/>
      <c r="T2" s="326"/>
      <c r="U2" s="326"/>
      <c r="V2" s="326"/>
      <c r="W2" s="326"/>
      <c r="X2" s="326"/>
      <c r="Y2" s="326"/>
      <c r="Z2" s="326"/>
      <c r="AA2" s="326"/>
      <c r="AB2" s="326"/>
      <c r="AC2" s="326"/>
      <c r="AD2" s="326"/>
      <c r="AE2" s="326"/>
      <c r="AF2" s="326"/>
      <c r="AG2" s="326"/>
      <c r="AH2" s="326"/>
      <c r="AI2" s="326"/>
      <c r="AJ2" s="326"/>
      <c r="AK2" s="326"/>
      <c r="AL2" s="326"/>
      <c r="AM2" s="326"/>
      <c r="AN2" s="326"/>
      <c r="AO2" s="326"/>
      <c r="AP2" s="394" t="s">
        <v>115</v>
      </c>
      <c r="AQ2" s="395">
        <f>D9+(AB8*(D10-D9))</f>
        <v>9.7126697338726475E-2</v>
      </c>
      <c r="AR2" s="326"/>
      <c r="AS2" s="326"/>
      <c r="AT2" s="326"/>
      <c r="AU2" s="394" t="s">
        <v>127</v>
      </c>
      <c r="AV2" s="425" t="s">
        <v>128</v>
      </c>
      <c r="AW2" s="426">
        <v>2025</v>
      </c>
      <c r="AX2" s="425" t="s">
        <v>129</v>
      </c>
      <c r="AY2" s="425" t="s">
        <v>130</v>
      </c>
      <c r="AZ2" s="425" t="s">
        <v>131</v>
      </c>
      <c r="BA2" s="425" t="s">
        <v>132</v>
      </c>
      <c r="BB2" s="427" t="s">
        <v>133</v>
      </c>
      <c r="BC2" s="326"/>
      <c r="BD2" s="394" t="s">
        <v>77</v>
      </c>
      <c r="BE2" s="426">
        <v>2025</v>
      </c>
      <c r="BF2" s="425" t="s">
        <v>129</v>
      </c>
      <c r="BG2" s="425" t="s">
        <v>130</v>
      </c>
      <c r="BH2" s="425" t="s">
        <v>131</v>
      </c>
      <c r="BI2" s="425" t="s">
        <v>132</v>
      </c>
      <c r="BJ2" s="427" t="s">
        <v>133</v>
      </c>
      <c r="BK2" s="390" t="s">
        <v>158</v>
      </c>
      <c r="BL2" s="428"/>
    </row>
    <row r="3" spans="1:67" x14ac:dyDescent="0.2">
      <c r="A3" s="321"/>
      <c r="B3" s="345" t="s">
        <v>76</v>
      </c>
      <c r="C3" s="346"/>
      <c r="D3" s="347"/>
      <c r="E3" s="324"/>
      <c r="F3" s="321"/>
      <c r="G3" s="321"/>
      <c r="H3" s="321"/>
      <c r="I3" s="321"/>
      <c r="J3" s="321"/>
      <c r="K3" s="321"/>
      <c r="L3" s="321"/>
      <c r="M3" s="321"/>
      <c r="N3" s="321"/>
      <c r="O3" s="321"/>
      <c r="P3" s="321"/>
      <c r="Q3" s="321"/>
      <c r="R3" s="326"/>
      <c r="S3" s="326"/>
      <c r="T3" s="326"/>
      <c r="U3" s="326"/>
      <c r="V3" s="326"/>
      <c r="W3" s="326"/>
      <c r="X3" s="326"/>
      <c r="Y3" s="326"/>
      <c r="Z3" s="326"/>
      <c r="AA3" s="326"/>
      <c r="AB3" s="326"/>
      <c r="AC3" s="326"/>
      <c r="AD3" s="326"/>
      <c r="AE3" s="326"/>
      <c r="AF3" s="326"/>
      <c r="AG3" s="326"/>
      <c r="AH3" s="326"/>
      <c r="AI3" s="326"/>
      <c r="AJ3" s="326"/>
      <c r="AK3" s="326"/>
      <c r="AL3" s="326"/>
      <c r="AM3" s="326"/>
      <c r="AN3" s="326"/>
      <c r="AO3" s="326"/>
      <c r="AP3" s="384" t="s">
        <v>119</v>
      </c>
      <c r="AQ3" s="392">
        <v>9.7000000000000003E-2</v>
      </c>
      <c r="AR3" s="326"/>
      <c r="AS3" s="326"/>
      <c r="AT3" s="326"/>
      <c r="AU3" s="416" t="s">
        <v>134</v>
      </c>
      <c r="AV3" s="396" t="s">
        <v>135</v>
      </c>
      <c r="AW3" s="396" t="s">
        <v>135</v>
      </c>
      <c r="AX3" s="396" t="s">
        <v>136</v>
      </c>
      <c r="AY3" s="396" t="s">
        <v>137</v>
      </c>
      <c r="AZ3" s="396" t="s">
        <v>138</v>
      </c>
      <c r="BA3" s="396" t="s">
        <v>139</v>
      </c>
      <c r="BB3" s="417" t="s">
        <v>140</v>
      </c>
      <c r="BC3" s="326"/>
      <c r="BD3" s="386" t="s">
        <v>155</v>
      </c>
      <c r="BE3" s="356"/>
      <c r="BF3" s="356">
        <f>AX11/(1+AQ10)</f>
        <v>372.76501323940539</v>
      </c>
      <c r="BG3" s="356">
        <f>AY11/(1+AQ10)^2</f>
        <v>490.48649665889815</v>
      </c>
      <c r="BH3" s="356">
        <f>AZ11/(1+AQ10)^3</f>
        <v>1115.4512816889539</v>
      </c>
      <c r="BI3" s="356">
        <f>BA11/(1+AQ10)^4</f>
        <v>1694.7686384906399</v>
      </c>
      <c r="BJ3" s="377">
        <f>BB11/(1+AQ10)^5</f>
        <v>2443.6259585330345</v>
      </c>
      <c r="BK3" s="390">
        <f>SUM(BF3:BJ3)</f>
        <v>6117.0973886109314</v>
      </c>
      <c r="BL3" s="428"/>
    </row>
    <row r="4" spans="1:67" x14ac:dyDescent="0.2">
      <c r="A4" s="321"/>
      <c r="B4" s="337" t="s">
        <v>75</v>
      </c>
      <c r="C4" s="338"/>
      <c r="D4" s="348">
        <v>0.02</v>
      </c>
      <c r="E4" s="321"/>
      <c r="F4" s="321"/>
      <c r="G4" s="321"/>
      <c r="H4" s="321"/>
      <c r="I4" s="321"/>
      <c r="J4" s="321"/>
      <c r="K4" s="321"/>
      <c r="L4" s="321"/>
      <c r="M4" s="321"/>
      <c r="N4" s="321"/>
      <c r="O4" s="321"/>
      <c r="P4" s="321"/>
      <c r="Q4" s="321"/>
      <c r="R4" s="326"/>
      <c r="S4" s="326"/>
      <c r="T4" s="326"/>
      <c r="U4" s="326"/>
      <c r="V4" s="326"/>
      <c r="W4" s="326"/>
      <c r="X4" s="326"/>
      <c r="Y4" s="326"/>
      <c r="Z4" s="326"/>
      <c r="AA4" s="383" t="s">
        <v>109</v>
      </c>
      <c r="AB4" s="373"/>
      <c r="AC4" s="373"/>
      <c r="AD4" s="373"/>
      <c r="AE4" s="373"/>
      <c r="AF4" s="373"/>
      <c r="AG4" s="373"/>
      <c r="AH4" s="373"/>
      <c r="AI4" s="373"/>
      <c r="AJ4" s="373"/>
      <c r="AK4" s="373"/>
      <c r="AL4" s="373"/>
      <c r="AM4" s="373"/>
      <c r="AN4" s="374"/>
      <c r="AO4" s="326"/>
      <c r="AP4" s="384" t="s">
        <v>116</v>
      </c>
      <c r="AQ4" s="393">
        <f>'Income Statement'!AA33</f>
        <v>3.5</v>
      </c>
      <c r="AR4" s="326"/>
      <c r="AS4" s="326"/>
      <c r="AT4" s="326"/>
      <c r="AU4" s="416" t="s">
        <v>141</v>
      </c>
      <c r="AV4" s="396"/>
      <c r="AW4" s="396"/>
      <c r="AX4" s="396">
        <v>1</v>
      </c>
      <c r="AY4" s="396">
        <v>2</v>
      </c>
      <c r="AZ4" s="396">
        <v>3</v>
      </c>
      <c r="BA4" s="396">
        <v>4</v>
      </c>
      <c r="BB4" s="417">
        <v>5</v>
      </c>
      <c r="BC4" s="326"/>
      <c r="BD4" s="326"/>
      <c r="BE4" s="326"/>
      <c r="BF4" s="326"/>
      <c r="BG4" s="326"/>
      <c r="BH4" s="326"/>
      <c r="BI4" s="326"/>
      <c r="BJ4" s="326"/>
      <c r="BK4" s="326"/>
      <c r="BL4" s="428"/>
    </row>
    <row r="5" spans="1:67" x14ac:dyDescent="0.2">
      <c r="A5" s="321"/>
      <c r="B5" s="337" t="s">
        <v>74</v>
      </c>
      <c r="C5" s="338"/>
      <c r="D5" s="349">
        <f ca="1">DATE(YEAR(TODAY()),12,31)</f>
        <v>46022</v>
      </c>
      <c r="E5" s="321"/>
      <c r="F5" s="321"/>
      <c r="G5" s="321"/>
      <c r="H5" s="321"/>
      <c r="I5" s="321"/>
      <c r="J5" s="334"/>
      <c r="K5" s="335"/>
      <c r="L5" s="335"/>
      <c r="M5" s="335" t="s">
        <v>96</v>
      </c>
      <c r="N5" s="336"/>
      <c r="O5" s="321"/>
      <c r="P5" s="321"/>
      <c r="Q5" s="321"/>
      <c r="R5" s="326"/>
      <c r="S5" s="326"/>
      <c r="T5" s="326"/>
      <c r="U5" s="326"/>
      <c r="V5" s="326"/>
      <c r="W5" s="326"/>
      <c r="X5" s="326"/>
      <c r="Y5" s="326"/>
      <c r="Z5" s="326"/>
      <c r="AA5" s="384" t="s">
        <v>110</v>
      </c>
      <c r="AB5" s="353"/>
      <c r="AC5" s="353"/>
      <c r="AD5" s="353"/>
      <c r="AE5" s="353"/>
      <c r="AF5" s="353"/>
      <c r="AG5" s="353"/>
      <c r="AH5" s="353"/>
      <c r="AI5" s="353"/>
      <c r="AJ5" s="353"/>
      <c r="AK5" s="353"/>
      <c r="AL5" s="353"/>
      <c r="AM5" s="353"/>
      <c r="AN5" s="375"/>
      <c r="AO5" s="326"/>
      <c r="AP5" s="384" t="s">
        <v>117</v>
      </c>
      <c r="AQ5" s="393">
        <f>'Balance Sheet'!Z35</f>
        <v>86.62290999999999</v>
      </c>
      <c r="AR5" s="326"/>
      <c r="AS5" s="326"/>
      <c r="AT5" s="326"/>
      <c r="AU5" s="387" t="s">
        <v>147</v>
      </c>
      <c r="AV5" s="369"/>
      <c r="AW5" s="369"/>
      <c r="AX5" s="369">
        <v>848.15829000000008</v>
      </c>
      <c r="AY5" s="369">
        <v>1616.4195232499999</v>
      </c>
      <c r="AZ5" s="369">
        <v>2872.6337366999996</v>
      </c>
      <c r="BA5" s="369">
        <v>4754.6551335937502</v>
      </c>
      <c r="BB5" s="370">
        <v>7315.5196283400001</v>
      </c>
      <c r="BC5" s="326"/>
      <c r="BD5" s="391" t="s">
        <v>156</v>
      </c>
      <c r="BE5" s="429">
        <f>BB11*(1+D4)/(AQ10-D4)</f>
        <v>56584.506651615608</v>
      </c>
      <c r="BF5" s="326"/>
      <c r="BG5" s="326"/>
      <c r="BH5" s="326"/>
      <c r="BI5" s="326"/>
      <c r="BJ5" s="326"/>
      <c r="BK5" s="326"/>
      <c r="BL5" s="428"/>
    </row>
    <row r="6" spans="1:67" x14ac:dyDescent="0.2">
      <c r="A6" s="321"/>
      <c r="B6" s="337" t="s">
        <v>73</v>
      </c>
      <c r="C6" s="338"/>
      <c r="D6" s="350">
        <f ca="1">DATE(YEAR(TODAY()),12,31)</f>
        <v>46022</v>
      </c>
      <c r="E6" s="321"/>
      <c r="F6" s="345" t="s">
        <v>85</v>
      </c>
      <c r="G6" s="358" t="s">
        <v>81</v>
      </c>
      <c r="H6" s="359" t="s">
        <v>82</v>
      </c>
      <c r="I6" s="325"/>
      <c r="J6" s="364"/>
      <c r="K6" s="365"/>
      <c r="L6" s="365"/>
      <c r="M6" s="339" t="s">
        <v>95</v>
      </c>
      <c r="N6" s="340"/>
      <c r="O6" s="321"/>
      <c r="P6" s="371" t="s">
        <v>101</v>
      </c>
      <c r="Q6" s="372"/>
      <c r="R6" s="373"/>
      <c r="S6" s="373"/>
      <c r="T6" s="373"/>
      <c r="U6" s="373"/>
      <c r="V6" s="373"/>
      <c r="W6" s="373"/>
      <c r="X6" s="373"/>
      <c r="Y6" s="374"/>
      <c r="Z6" s="326"/>
      <c r="AA6" s="385" t="s">
        <v>107</v>
      </c>
      <c r="AB6" s="353"/>
      <c r="AC6" s="353"/>
      <c r="AD6" s="353"/>
      <c r="AE6" s="353"/>
      <c r="AF6" s="353"/>
      <c r="AG6" s="353"/>
      <c r="AH6" s="353"/>
      <c r="AI6" s="353"/>
      <c r="AJ6" s="353"/>
      <c r="AK6" s="353"/>
      <c r="AL6" s="353"/>
      <c r="AM6" s="353"/>
      <c r="AN6" s="375"/>
      <c r="AO6" s="326"/>
      <c r="AP6" s="384" t="s">
        <v>118</v>
      </c>
      <c r="AQ6" s="447">
        <f>AQ4/AQ5</f>
        <v>4.0405015255202119E-2</v>
      </c>
      <c r="AR6" s="326" t="s">
        <v>120</v>
      </c>
      <c r="AS6" s="326"/>
      <c r="AT6" s="326"/>
      <c r="AU6" s="387" t="s">
        <v>91</v>
      </c>
      <c r="AV6" s="369"/>
      <c r="AW6" s="369"/>
      <c r="AX6" s="419">
        <v>0.29999999999999993</v>
      </c>
      <c r="AY6" s="419">
        <v>0.30048824506656924</v>
      </c>
      <c r="AZ6" s="419">
        <v>0.30027447308918603</v>
      </c>
      <c r="BA6" s="419">
        <v>0.3001657491658043</v>
      </c>
      <c r="BB6" s="420">
        <v>0.30010769938266413</v>
      </c>
      <c r="BC6" s="326"/>
      <c r="BD6" s="326"/>
      <c r="BE6" s="326"/>
      <c r="BF6" s="326"/>
      <c r="BG6" s="326"/>
      <c r="BH6" s="326"/>
      <c r="BI6" s="326"/>
      <c r="BJ6" s="326"/>
      <c r="BK6" s="326"/>
      <c r="BL6" s="428"/>
    </row>
    <row r="7" spans="1:67" x14ac:dyDescent="0.2">
      <c r="A7" s="321"/>
      <c r="B7" s="337" t="s">
        <v>72</v>
      </c>
      <c r="C7" s="338"/>
      <c r="D7" s="351">
        <v>39</v>
      </c>
      <c r="E7" s="321"/>
      <c r="F7" s="337" t="s">
        <v>86</v>
      </c>
      <c r="G7" s="360">
        <v>1.3</v>
      </c>
      <c r="H7" s="348">
        <v>0.4</v>
      </c>
      <c r="I7" s="363"/>
      <c r="J7" s="337" t="s">
        <v>92</v>
      </c>
      <c r="K7" s="338"/>
      <c r="L7" s="338"/>
      <c r="M7" s="366">
        <f>G7/(1+(1-'Income Statement'!$AA$43)*H7)</f>
        <v>1.0156265917881944</v>
      </c>
      <c r="N7" s="367"/>
      <c r="O7" s="382"/>
      <c r="P7" s="337" t="s">
        <v>102</v>
      </c>
      <c r="Q7" s="338"/>
      <c r="R7" s="353"/>
      <c r="S7" s="353"/>
      <c r="T7" s="353"/>
      <c r="U7" s="353"/>
      <c r="V7" s="353"/>
      <c r="W7" s="353"/>
      <c r="X7" s="353"/>
      <c r="Y7" s="375"/>
      <c r="Z7" s="326"/>
      <c r="AA7" s="384"/>
      <c r="AB7" s="353"/>
      <c r="AC7" s="353"/>
      <c r="AD7" s="353"/>
      <c r="AE7" s="353"/>
      <c r="AF7" s="353"/>
      <c r="AG7" s="353"/>
      <c r="AH7" s="353"/>
      <c r="AI7" s="353"/>
      <c r="AJ7" s="353"/>
      <c r="AK7" s="353"/>
      <c r="AL7" s="353"/>
      <c r="AM7" s="353"/>
      <c r="AN7" s="375"/>
      <c r="AO7" s="326"/>
      <c r="AP7" s="416" t="s">
        <v>122</v>
      </c>
      <c r="AQ7" s="444">
        <f>'Balance Sheet'!Z40</f>
        <v>495.7967331625</v>
      </c>
      <c r="AR7" s="399">
        <f>(AQ7/AQ9)</f>
        <v>0.85127062416775057</v>
      </c>
      <c r="AS7" s="326"/>
      <c r="AT7" s="326"/>
      <c r="AU7" s="387"/>
      <c r="AV7" s="369"/>
      <c r="AW7" s="369"/>
      <c r="AX7" s="369"/>
      <c r="AY7" s="369"/>
      <c r="AZ7" s="369"/>
      <c r="BA7" s="369"/>
      <c r="BB7" s="370"/>
      <c r="BC7" s="326"/>
      <c r="BD7" s="391" t="s">
        <v>157</v>
      </c>
      <c r="BE7" s="429">
        <f>BE5/(1+AQ10)^5</f>
        <v>37324.132908346626</v>
      </c>
      <c r="BF7" s="326"/>
      <c r="BG7" s="326"/>
      <c r="BH7" s="326"/>
      <c r="BI7" s="326"/>
      <c r="BJ7" s="326"/>
      <c r="BK7" s="326"/>
      <c r="BL7" s="428"/>
    </row>
    <row r="8" spans="1:67" x14ac:dyDescent="0.2">
      <c r="A8" s="321"/>
      <c r="B8" s="337" t="s">
        <v>71</v>
      </c>
      <c r="C8" s="338"/>
      <c r="D8" s="352">
        <v>1165</v>
      </c>
      <c r="E8" s="321"/>
      <c r="F8" s="337" t="s">
        <v>87</v>
      </c>
      <c r="G8" s="360">
        <v>1.6</v>
      </c>
      <c r="H8" s="348">
        <v>0.55000000000000004</v>
      </c>
      <c r="I8" s="363"/>
      <c r="J8" s="337" t="s">
        <v>93</v>
      </c>
      <c r="K8" s="338"/>
      <c r="L8" s="338"/>
      <c r="M8" s="366">
        <f>G8/(1+(1-'Income Statement'!$AA$43)*H8)</f>
        <v>1.1552369578731723</v>
      </c>
      <c r="N8" s="367"/>
      <c r="O8" s="382"/>
      <c r="P8" s="337" t="s">
        <v>103</v>
      </c>
      <c r="Q8" s="338"/>
      <c r="R8" s="353"/>
      <c r="S8" s="353"/>
      <c r="T8" s="353"/>
      <c r="U8" s="353"/>
      <c r="V8" s="353"/>
      <c r="W8" s="353"/>
      <c r="X8" s="353"/>
      <c r="Y8" s="375"/>
      <c r="Z8" s="326"/>
      <c r="AA8" s="388" t="s">
        <v>111</v>
      </c>
      <c r="AB8" s="389">
        <f>M10*(1+(1-'Income Statement'!AA43)*'Balance Sheet'!Z49)</f>
        <v>1.202111622312108</v>
      </c>
      <c r="AC8" s="353"/>
      <c r="AD8" s="353"/>
      <c r="AE8" s="353"/>
      <c r="AF8" s="353"/>
      <c r="AG8" s="353"/>
      <c r="AH8" s="353"/>
      <c r="AI8" s="353"/>
      <c r="AJ8" s="353"/>
      <c r="AK8" s="353"/>
      <c r="AL8" s="353"/>
      <c r="AM8" s="353"/>
      <c r="AN8" s="375"/>
      <c r="AO8" s="326"/>
      <c r="AP8" s="416" t="s">
        <v>117</v>
      </c>
      <c r="AQ8" s="444">
        <f>AQ5</f>
        <v>86.62290999999999</v>
      </c>
      <c r="AR8" s="399">
        <f>(AQ8/AQ9)</f>
        <v>0.14872937583224929</v>
      </c>
      <c r="AS8" s="326"/>
      <c r="AT8" s="326"/>
      <c r="AU8" s="387" t="s">
        <v>142</v>
      </c>
      <c r="AV8" s="369"/>
      <c r="AW8" s="369"/>
      <c r="AX8" s="369">
        <v>100.971225</v>
      </c>
      <c r="AY8" s="369">
        <v>171.95952375000002</v>
      </c>
      <c r="AZ8" s="369">
        <v>276.21478237500003</v>
      </c>
      <c r="BA8" s="369">
        <v>417.07501171875003</v>
      </c>
      <c r="BB8" s="370">
        <v>589.96126034999998</v>
      </c>
      <c r="BC8" s="326"/>
      <c r="BD8" s="326"/>
      <c r="BE8" s="326"/>
      <c r="BF8" s="326"/>
      <c r="BG8" s="326"/>
      <c r="BH8" s="326"/>
      <c r="BI8" s="326"/>
      <c r="BJ8" s="326"/>
      <c r="BK8" s="326"/>
      <c r="BL8" s="428"/>
    </row>
    <row r="9" spans="1:67" x14ac:dyDescent="0.2">
      <c r="A9" s="321"/>
      <c r="B9" s="337" t="s">
        <v>78</v>
      </c>
      <c r="C9" s="353"/>
      <c r="D9" s="354">
        <v>2.5000000000000001E-2</v>
      </c>
      <c r="E9" s="321"/>
      <c r="F9" s="355" t="s">
        <v>88</v>
      </c>
      <c r="G9" s="361">
        <v>1.5</v>
      </c>
      <c r="H9" s="362">
        <v>0.5</v>
      </c>
      <c r="I9" s="363"/>
      <c r="J9" s="337" t="s">
        <v>94</v>
      </c>
      <c r="K9" s="338"/>
      <c r="L9" s="338"/>
      <c r="M9" s="366">
        <f>G9/(1+(1-'Income Statement'!$AA$43)*H9)</f>
        <v>1.1111131750447409</v>
      </c>
      <c r="N9" s="367"/>
      <c r="O9" s="382"/>
      <c r="P9" s="337" t="s">
        <v>104</v>
      </c>
      <c r="Q9" s="338"/>
      <c r="R9" s="353"/>
      <c r="S9" s="353"/>
      <c r="T9" s="353"/>
      <c r="U9" s="353"/>
      <c r="V9" s="353"/>
      <c r="W9" s="353"/>
      <c r="X9" s="353"/>
      <c r="Y9" s="375"/>
      <c r="Z9" s="326"/>
      <c r="AA9" s="386"/>
      <c r="AB9" s="356"/>
      <c r="AC9" s="356"/>
      <c r="AD9" s="356"/>
      <c r="AE9" s="356"/>
      <c r="AF9" s="356"/>
      <c r="AG9" s="356"/>
      <c r="AH9" s="356"/>
      <c r="AI9" s="356"/>
      <c r="AJ9" s="356"/>
      <c r="AK9" s="356"/>
      <c r="AL9" s="356"/>
      <c r="AM9" s="356"/>
      <c r="AN9" s="377"/>
      <c r="AO9" s="326"/>
      <c r="AP9" s="388" t="s">
        <v>123</v>
      </c>
      <c r="AQ9" s="445">
        <f>SUM(AQ7:AQ8)</f>
        <v>582.41964316250005</v>
      </c>
      <c r="AR9" s="398">
        <f>SUM(AR7:AR8)</f>
        <v>0.99999999999999989</v>
      </c>
      <c r="AS9" s="326"/>
      <c r="AT9" s="326"/>
      <c r="AU9" s="387" t="s">
        <v>143</v>
      </c>
      <c r="AV9" s="369"/>
      <c r="AW9" s="369"/>
      <c r="AX9" s="369">
        <v>231.94245000000001</v>
      </c>
      <c r="AY9" s="369">
        <v>405.91904750000003</v>
      </c>
      <c r="AZ9" s="369">
        <v>583.42956475000005</v>
      </c>
      <c r="BA9" s="369">
        <v>1014.1500234375001</v>
      </c>
      <c r="BB9" s="370">
        <v>1555.9225207</v>
      </c>
      <c r="BC9" s="326"/>
      <c r="BD9" s="391" t="s">
        <v>159</v>
      </c>
      <c r="BE9" s="443">
        <f>SUM(BK3,BE7)</f>
        <v>43441.230296957554</v>
      </c>
      <c r="BF9" s="326"/>
      <c r="BG9" s="326"/>
      <c r="BH9" s="326"/>
      <c r="BI9" s="326"/>
      <c r="BJ9" s="326"/>
      <c r="BK9" s="326"/>
      <c r="BL9" s="428"/>
    </row>
    <row r="10" spans="1:67" x14ac:dyDescent="0.2">
      <c r="A10" s="321"/>
      <c r="B10" s="355" t="s">
        <v>79</v>
      </c>
      <c r="C10" s="356"/>
      <c r="D10" s="357">
        <v>8.5000000000000006E-2</v>
      </c>
      <c r="E10" s="321"/>
      <c r="F10" s="321"/>
      <c r="G10" s="321"/>
      <c r="H10" s="321"/>
      <c r="I10" s="321"/>
      <c r="J10" s="341" t="s">
        <v>97</v>
      </c>
      <c r="K10" s="342"/>
      <c r="L10" s="342"/>
      <c r="M10" s="343">
        <f>AVERAGE(M7:M9)</f>
        <v>1.0939922415687027</v>
      </c>
      <c r="N10" s="344"/>
      <c r="O10" s="321"/>
      <c r="P10" s="355" t="s">
        <v>105</v>
      </c>
      <c r="Q10" s="376"/>
      <c r="R10" s="356"/>
      <c r="S10" s="356"/>
      <c r="T10" s="356"/>
      <c r="U10" s="356"/>
      <c r="V10" s="356"/>
      <c r="W10" s="356"/>
      <c r="X10" s="356"/>
      <c r="Y10" s="377"/>
      <c r="Z10" s="326"/>
      <c r="AA10" s="326"/>
      <c r="AB10" s="326"/>
      <c r="AC10" s="326"/>
      <c r="AD10" s="326"/>
      <c r="AE10" s="326"/>
      <c r="AF10" s="326"/>
      <c r="AG10" s="326"/>
      <c r="AH10" s="326"/>
      <c r="AI10" s="326"/>
      <c r="AJ10" s="326"/>
      <c r="AK10" s="326"/>
      <c r="AL10" s="326"/>
      <c r="AM10" s="326"/>
      <c r="AN10" s="326"/>
      <c r="AO10" s="326"/>
      <c r="AP10" s="418" t="s">
        <v>124</v>
      </c>
      <c r="AQ10" s="446">
        <f>((AQ7/(AQ9)*AQ3)+((AQ8/AQ9)*AQ6)*(1-'Income Statement'!AA43))</f>
        <v>8.6779809294546512E-2</v>
      </c>
      <c r="AR10" s="326"/>
      <c r="AS10" s="326"/>
      <c r="AT10" s="326"/>
      <c r="AU10" s="387" t="s">
        <v>144</v>
      </c>
      <c r="AV10" s="369"/>
      <c r="AW10" s="369"/>
      <c r="AX10" s="369">
        <v>57.626088000000003</v>
      </c>
      <c r="AY10" s="369">
        <v>317.43606375000002</v>
      </c>
      <c r="AZ10" s="369">
        <v>271.06367242499999</v>
      </c>
      <c r="BA10" s="369">
        <v>366.23659629374998</v>
      </c>
      <c r="BB10" s="370">
        <v>449.50424644125002</v>
      </c>
      <c r="BC10" s="326"/>
      <c r="BD10" s="326" t="s">
        <v>161</v>
      </c>
      <c r="BE10" s="326">
        <f>'Balance Sheet'!Z10</f>
        <v>376.36643566250001</v>
      </c>
      <c r="BF10" s="326"/>
      <c r="BG10" s="326"/>
      <c r="BH10" s="326"/>
      <c r="BI10" s="326"/>
      <c r="BJ10" s="326"/>
      <c r="BK10" s="326"/>
      <c r="BL10" s="428"/>
    </row>
    <row r="11" spans="1:67" x14ac:dyDescent="0.2">
      <c r="A11" s="321"/>
      <c r="B11" s="321"/>
      <c r="C11" s="321"/>
      <c r="D11" s="324"/>
      <c r="E11" s="321"/>
      <c r="F11" s="321"/>
      <c r="G11" s="321"/>
      <c r="H11" s="321"/>
      <c r="I11" s="321"/>
      <c r="J11" s="321"/>
      <c r="K11" s="321"/>
      <c r="L11" s="321"/>
      <c r="M11" s="321"/>
      <c r="N11" s="321"/>
      <c r="O11" s="321"/>
      <c r="P11" s="368"/>
      <c r="Q11" s="321"/>
      <c r="R11" s="326"/>
      <c r="S11" s="326"/>
      <c r="T11" s="326"/>
      <c r="U11" s="326"/>
      <c r="V11" s="326"/>
      <c r="W11" s="326"/>
      <c r="X11" s="326"/>
      <c r="Y11" s="326"/>
      <c r="Z11" s="326"/>
      <c r="AA11" s="326"/>
      <c r="AB11" s="326"/>
      <c r="AC11" s="326"/>
      <c r="AD11" s="326"/>
      <c r="AE11" s="326"/>
      <c r="AF11" s="326"/>
      <c r="AG11" s="326"/>
      <c r="AH11" s="326"/>
      <c r="AI11" s="326"/>
      <c r="AJ11" s="326"/>
      <c r="AK11" s="326"/>
      <c r="AL11" s="326"/>
      <c r="AM11" s="326"/>
      <c r="AN11" s="326"/>
      <c r="AO11" s="326"/>
      <c r="AP11" s="326"/>
      <c r="AQ11" s="326"/>
      <c r="AR11" s="326"/>
      <c r="AS11" s="326"/>
      <c r="AT11" s="326"/>
      <c r="AU11" s="421" t="s">
        <v>145</v>
      </c>
      <c r="AV11" s="422"/>
      <c r="AW11" s="422"/>
      <c r="AX11" s="423">
        <f>AX5*(1-AX6)-AX7+AX8-AX9-AX10</f>
        <v>405.11349000000007</v>
      </c>
      <c r="AY11" s="423">
        <f>AY5*(1-AY6)-AY7+AY8-AY9-AY10</f>
        <v>579.30886991726686</v>
      </c>
      <c r="AZ11" s="423">
        <f>AZ5*(1-AZ6)-AZ7+AZ8-AZ9-AZ10</f>
        <v>1431.776700234188</v>
      </c>
      <c r="BA11" s="423">
        <f>BA5*(1-BA6)-BA7+BA8-BA9-BA10</f>
        <v>2364.1589053810449</v>
      </c>
      <c r="BB11" s="424">
        <f>BB5*(1-BB6)-BB7+BB8-BB9-BB10</f>
        <v>3704.6103560989104</v>
      </c>
      <c r="BC11" s="397"/>
      <c r="BD11" s="326" t="s">
        <v>162</v>
      </c>
      <c r="BE11" s="326">
        <f>'Balance Sheet'!Z30+'Balance Sheet'!Z33</f>
        <v>70</v>
      </c>
      <c r="BF11" s="326"/>
      <c r="BG11" s="326"/>
      <c r="BH11" s="326"/>
      <c r="BI11" s="326"/>
      <c r="BJ11" s="326"/>
      <c r="BK11" s="326"/>
      <c r="BL11" s="428"/>
    </row>
    <row r="12" spans="1:67" x14ac:dyDescent="0.2">
      <c r="A12" s="321"/>
      <c r="B12" s="321"/>
      <c r="C12" s="321"/>
      <c r="D12" s="324"/>
      <c r="E12" s="321"/>
      <c r="F12" s="321"/>
      <c r="G12" s="321"/>
      <c r="H12" s="321"/>
      <c r="I12" s="321"/>
      <c r="J12" s="321"/>
      <c r="K12" s="321"/>
      <c r="L12" s="321"/>
      <c r="M12" s="321"/>
      <c r="N12" s="321"/>
      <c r="O12" s="321"/>
      <c r="P12" s="368"/>
      <c r="Q12" s="321"/>
      <c r="R12" s="326"/>
      <c r="S12" s="326"/>
      <c r="T12" s="326"/>
      <c r="U12" s="326"/>
      <c r="V12" s="326"/>
      <c r="W12" s="326"/>
      <c r="X12" s="326"/>
      <c r="Y12" s="326"/>
      <c r="Z12" s="326"/>
      <c r="AA12" s="326"/>
      <c r="AB12" s="326"/>
      <c r="AC12" s="326"/>
      <c r="AD12" s="326"/>
      <c r="AE12" s="326"/>
      <c r="AF12" s="326"/>
      <c r="AG12" s="326"/>
      <c r="AH12" s="326"/>
      <c r="AI12" s="326"/>
      <c r="AJ12" s="326"/>
      <c r="AK12" s="326"/>
      <c r="AL12" s="326"/>
      <c r="AM12" s="326"/>
      <c r="AN12" s="326"/>
      <c r="AO12" s="326"/>
      <c r="AP12" s="326"/>
      <c r="AQ12" s="326"/>
      <c r="AR12" s="326"/>
      <c r="AS12" s="326"/>
      <c r="AT12" s="326"/>
      <c r="AU12" s="433"/>
      <c r="AV12" s="369"/>
      <c r="AW12" s="369"/>
      <c r="AX12" s="433"/>
      <c r="AY12" s="433"/>
      <c r="AZ12" s="433"/>
      <c r="BA12" s="433"/>
      <c r="BB12" s="433"/>
      <c r="BC12" s="397"/>
      <c r="BD12" s="391" t="s">
        <v>163</v>
      </c>
      <c r="BE12" s="443">
        <f>BE9+BE10-BE11</f>
        <v>43747.596732620055</v>
      </c>
      <c r="BF12" s="326"/>
      <c r="BG12" s="326"/>
      <c r="BH12" s="326"/>
      <c r="BI12" s="326"/>
      <c r="BJ12" s="326"/>
      <c r="BK12" s="326"/>
      <c r="BL12" s="428"/>
    </row>
    <row r="13" spans="1:67" x14ac:dyDescent="0.2">
      <c r="A13" s="321"/>
      <c r="B13" s="321"/>
      <c r="C13" s="321"/>
      <c r="D13" s="324"/>
      <c r="E13" s="321"/>
      <c r="F13" s="321"/>
      <c r="G13" s="321"/>
      <c r="H13" s="321"/>
      <c r="I13" s="321"/>
      <c r="J13" s="321"/>
      <c r="K13" s="321"/>
      <c r="L13" s="321"/>
      <c r="M13" s="321"/>
      <c r="N13" s="321"/>
      <c r="O13" s="321"/>
      <c r="P13" s="368"/>
      <c r="Q13" s="321"/>
      <c r="R13" s="326"/>
      <c r="S13" s="326"/>
      <c r="T13" s="326"/>
      <c r="U13" s="326"/>
      <c r="V13" s="326"/>
      <c r="W13" s="326"/>
      <c r="X13" s="326"/>
      <c r="Y13" s="326"/>
      <c r="Z13" s="326"/>
      <c r="AA13" s="326"/>
      <c r="AB13" s="326"/>
      <c r="AC13" s="326"/>
      <c r="AD13" s="326"/>
      <c r="AE13" s="326"/>
      <c r="AF13" s="326"/>
      <c r="AG13" s="326"/>
      <c r="AH13" s="326"/>
      <c r="AI13" s="326"/>
      <c r="AJ13" s="326"/>
      <c r="AK13" s="326"/>
      <c r="AL13" s="326"/>
      <c r="AM13" s="326"/>
      <c r="AN13" s="326"/>
      <c r="AO13" s="326"/>
      <c r="AP13" s="326"/>
      <c r="AQ13" s="326"/>
      <c r="AR13" s="326"/>
      <c r="AS13" s="326"/>
      <c r="AT13" s="326"/>
      <c r="AU13" s="433"/>
      <c r="AV13" s="369"/>
      <c r="AW13" s="369"/>
      <c r="AX13" s="433"/>
      <c r="AY13" s="433"/>
      <c r="AZ13" s="433"/>
      <c r="BA13" s="433"/>
      <c r="BB13" s="433"/>
      <c r="BC13" s="397"/>
      <c r="BD13" s="391" t="s">
        <v>164</v>
      </c>
      <c r="BE13" s="430">
        <f>BE12/D8</f>
        <v>37.551585178214637</v>
      </c>
      <c r="BF13" s="326"/>
      <c r="BG13" s="326"/>
      <c r="BH13" s="326"/>
      <c r="BI13" s="326"/>
      <c r="BJ13" s="326"/>
      <c r="BK13" s="326"/>
      <c r="BL13" s="428"/>
    </row>
    <row r="14" spans="1:67" x14ac:dyDescent="0.2">
      <c r="A14" s="321"/>
      <c r="B14" s="321"/>
      <c r="C14" s="321"/>
      <c r="D14" s="324"/>
      <c r="E14" s="321"/>
      <c r="F14" s="321"/>
      <c r="G14" s="321"/>
      <c r="H14" s="321"/>
      <c r="I14" s="321"/>
      <c r="J14" s="321"/>
      <c r="K14" s="321"/>
      <c r="L14" s="321"/>
      <c r="M14" s="321"/>
      <c r="N14" s="321"/>
      <c r="O14" s="321"/>
      <c r="P14" s="368"/>
      <c r="Q14" s="321"/>
      <c r="R14" s="326"/>
      <c r="S14" s="326"/>
      <c r="T14" s="326"/>
      <c r="U14" s="326"/>
      <c r="V14" s="326"/>
      <c r="W14" s="326"/>
      <c r="X14" s="326"/>
      <c r="Y14" s="326"/>
      <c r="Z14" s="326"/>
      <c r="AA14" s="326"/>
      <c r="AB14" s="326"/>
      <c r="AC14" s="326"/>
      <c r="AD14" s="326"/>
      <c r="AE14" s="326"/>
      <c r="AF14" s="326"/>
      <c r="AG14" s="326"/>
      <c r="AH14" s="326"/>
      <c r="AI14" s="326"/>
      <c r="AJ14" s="326"/>
      <c r="AK14" s="326"/>
      <c r="AL14" s="326"/>
      <c r="AM14" s="326"/>
      <c r="AN14" s="326"/>
      <c r="AO14" s="326"/>
      <c r="AP14" s="326"/>
      <c r="AQ14" s="326"/>
      <c r="AR14" s="326"/>
      <c r="AS14" s="326"/>
      <c r="AT14" s="326"/>
      <c r="AU14" s="433"/>
      <c r="AV14" s="369"/>
      <c r="AW14" s="369"/>
      <c r="AX14" s="433"/>
      <c r="AY14" s="433"/>
      <c r="AZ14" s="433"/>
      <c r="BA14" s="433"/>
      <c r="BB14" s="433"/>
      <c r="BC14" s="397"/>
      <c r="BD14" s="326" t="s">
        <v>165</v>
      </c>
      <c r="BE14" s="326"/>
      <c r="BF14" s="326"/>
      <c r="BG14" s="326"/>
      <c r="BH14" s="326"/>
      <c r="BI14" s="326"/>
      <c r="BJ14" s="326"/>
      <c r="BK14" s="326"/>
      <c r="BL14" s="428"/>
    </row>
    <row r="15" spans="1:67" x14ac:dyDescent="0.2">
      <c r="A15" s="318"/>
      <c r="B15" s="318"/>
      <c r="C15" s="318"/>
      <c r="D15" s="319"/>
      <c r="E15" s="318"/>
      <c r="F15" s="318"/>
      <c r="G15" s="318"/>
      <c r="H15" s="318"/>
      <c r="I15" s="318"/>
      <c r="J15" s="435"/>
      <c r="K15" s="435"/>
      <c r="L15" s="435"/>
      <c r="M15" s="435"/>
      <c r="N15" s="435"/>
      <c r="O15" s="435"/>
      <c r="P15" s="436"/>
      <c r="Q15" s="435"/>
      <c r="R15" s="428"/>
      <c r="S15" s="428"/>
      <c r="T15" s="428"/>
      <c r="U15" s="428"/>
      <c r="V15" s="428"/>
      <c r="W15" s="428"/>
      <c r="X15" s="428"/>
      <c r="Y15" s="428"/>
      <c r="Z15" s="428"/>
      <c r="AA15" s="428"/>
      <c r="AB15" s="428"/>
      <c r="AC15" s="428"/>
      <c r="AD15" s="428"/>
      <c r="AE15" s="428"/>
      <c r="AF15" s="428"/>
      <c r="AG15" s="428"/>
      <c r="AH15" s="428"/>
      <c r="AI15" s="428"/>
      <c r="AJ15" s="428"/>
      <c r="AK15" s="428"/>
      <c r="AL15" s="428"/>
      <c r="AM15" s="428"/>
      <c r="AN15" s="428"/>
      <c r="AO15" s="428"/>
      <c r="AP15" s="428"/>
      <c r="AQ15" s="428"/>
      <c r="AR15" s="428"/>
      <c r="AS15" s="428"/>
      <c r="AT15" s="428"/>
      <c r="AU15" s="431"/>
      <c r="AV15" s="432"/>
      <c r="AW15" s="432"/>
      <c r="AX15" s="431"/>
      <c r="AY15" s="431"/>
      <c r="AZ15" s="431"/>
      <c r="BA15" s="431"/>
      <c r="BB15" s="431"/>
      <c r="BC15" s="434"/>
      <c r="BD15" s="428"/>
      <c r="BE15" s="428"/>
      <c r="BF15" s="428"/>
      <c r="BG15" s="428"/>
      <c r="BH15" s="428"/>
      <c r="BI15" s="428"/>
      <c r="BJ15" s="428"/>
      <c r="BK15" s="428"/>
      <c r="BL15" s="428"/>
    </row>
    <row r="16" spans="1:67" x14ac:dyDescent="0.2">
      <c r="A16" s="320"/>
      <c r="B16" s="437" t="s">
        <v>89</v>
      </c>
      <c r="C16" s="390"/>
      <c r="D16" s="438"/>
      <c r="E16" s="320"/>
      <c r="F16" s="320"/>
      <c r="G16" s="320"/>
      <c r="H16" s="320"/>
      <c r="I16" s="320"/>
      <c r="J16" s="381"/>
      <c r="AU16" s="428"/>
      <c r="AV16" s="428"/>
      <c r="AW16" s="428"/>
      <c r="AX16" s="428"/>
      <c r="AY16" s="428"/>
      <c r="AZ16" s="428"/>
      <c r="BA16" s="428"/>
      <c r="BB16" s="428"/>
      <c r="BC16" s="428"/>
      <c r="BD16" s="428"/>
      <c r="BE16" s="428"/>
      <c r="BF16" s="428"/>
      <c r="BG16" s="428"/>
      <c r="BH16" s="428"/>
      <c r="BI16" s="428"/>
      <c r="BJ16" s="428"/>
      <c r="BK16" s="428"/>
      <c r="BL16" s="428"/>
    </row>
    <row r="17" spans="1:64" x14ac:dyDescent="0.2">
      <c r="A17" s="320"/>
      <c r="B17" s="390" t="s">
        <v>90</v>
      </c>
      <c r="C17" s="320"/>
      <c r="D17" s="439"/>
      <c r="E17" s="320"/>
      <c r="F17" s="320"/>
      <c r="G17" s="320"/>
      <c r="H17" s="320"/>
      <c r="I17" s="320"/>
      <c r="AR17" s="256" t="s">
        <v>57</v>
      </c>
      <c r="BC17" s="428"/>
      <c r="BD17" s="428"/>
      <c r="BE17" s="428"/>
      <c r="BF17" s="428"/>
      <c r="BG17" s="428"/>
      <c r="BH17" s="428"/>
      <c r="BI17" s="428"/>
      <c r="BJ17" s="428"/>
      <c r="BK17" s="428"/>
      <c r="BL17" s="428"/>
    </row>
    <row r="18" spans="1:64" x14ac:dyDescent="0.2">
      <c r="A18" s="320"/>
      <c r="B18" s="390"/>
      <c r="C18" s="320"/>
      <c r="D18" s="439"/>
      <c r="E18" s="320"/>
      <c r="F18" s="320"/>
      <c r="G18" s="320"/>
      <c r="H18" s="320"/>
      <c r="I18" s="320"/>
      <c r="BC18" s="428"/>
      <c r="BD18" s="428"/>
      <c r="BE18" s="428"/>
      <c r="BF18" s="428"/>
      <c r="BG18" s="428"/>
      <c r="BH18" s="428"/>
      <c r="BI18" s="428"/>
      <c r="BJ18" s="428"/>
      <c r="BK18" s="428"/>
      <c r="BL18" s="428"/>
    </row>
    <row r="19" spans="1:64" x14ac:dyDescent="0.2">
      <c r="A19" s="320"/>
      <c r="B19" s="320" t="s">
        <v>98</v>
      </c>
      <c r="C19" s="320"/>
      <c r="D19" s="439"/>
      <c r="E19" s="320"/>
      <c r="F19" s="320"/>
      <c r="G19" s="320"/>
      <c r="H19" s="320"/>
      <c r="I19" s="320"/>
    </row>
    <row r="20" spans="1:64" x14ac:dyDescent="0.2">
      <c r="A20" s="320"/>
      <c r="B20" s="320"/>
      <c r="C20" s="320"/>
      <c r="D20" s="439"/>
      <c r="E20" s="320"/>
      <c r="F20" s="320"/>
      <c r="G20" s="320"/>
      <c r="H20" s="320"/>
      <c r="I20" s="320"/>
    </row>
    <row r="21" spans="1:64" x14ac:dyDescent="0.2">
      <c r="A21" s="320"/>
      <c r="B21" s="320"/>
      <c r="C21" s="320"/>
      <c r="D21" s="439"/>
      <c r="E21" s="320"/>
      <c r="F21" s="320"/>
      <c r="G21" s="320"/>
      <c r="H21" s="320"/>
      <c r="I21" s="320"/>
    </row>
    <row r="22" spans="1:64" x14ac:dyDescent="0.2">
      <c r="A22" s="320"/>
      <c r="B22" s="320"/>
      <c r="C22" s="320"/>
      <c r="D22" s="439"/>
      <c r="E22" s="320"/>
      <c r="F22" s="320"/>
      <c r="G22" s="320"/>
      <c r="H22" s="320"/>
      <c r="I22" s="320"/>
    </row>
    <row r="23" spans="1:64" x14ac:dyDescent="0.2">
      <c r="A23" s="320"/>
      <c r="B23" s="320"/>
      <c r="C23" s="320"/>
      <c r="D23" s="439"/>
      <c r="E23" s="320"/>
      <c r="F23" s="320"/>
      <c r="G23" s="320"/>
      <c r="H23" s="320"/>
      <c r="I23" s="320"/>
    </row>
    <row r="24" spans="1:64" x14ac:dyDescent="0.2">
      <c r="A24" s="320"/>
      <c r="B24" s="320"/>
      <c r="C24" s="320"/>
      <c r="D24" s="439"/>
      <c r="E24" s="320"/>
      <c r="F24" s="320"/>
      <c r="G24" s="320"/>
      <c r="H24" s="320"/>
      <c r="I24" s="320"/>
    </row>
    <row r="25" spans="1:64" x14ac:dyDescent="0.2">
      <c r="A25" s="320"/>
      <c r="B25" s="320" t="s">
        <v>114</v>
      </c>
      <c r="C25" s="320"/>
      <c r="D25" s="439"/>
      <c r="E25" s="320"/>
      <c r="F25" s="320"/>
      <c r="G25" s="320"/>
      <c r="H25" s="320"/>
      <c r="I25" s="320"/>
    </row>
    <row r="26" spans="1:64" x14ac:dyDescent="0.2">
      <c r="A26" s="320"/>
      <c r="B26" s="320"/>
      <c r="C26" s="320"/>
      <c r="D26" s="439"/>
      <c r="E26" s="320"/>
      <c r="F26" s="320"/>
      <c r="G26" s="320"/>
      <c r="H26" s="320"/>
      <c r="I26" s="320"/>
    </row>
    <row r="27" spans="1:64" x14ac:dyDescent="0.2">
      <c r="A27" s="320"/>
      <c r="B27" s="320" t="s">
        <v>99</v>
      </c>
      <c r="C27" s="320"/>
      <c r="D27" s="439"/>
      <c r="E27" s="320"/>
      <c r="F27" s="320"/>
      <c r="G27" s="320"/>
      <c r="H27" s="320"/>
      <c r="I27" s="320"/>
    </row>
    <row r="28" spans="1:64" x14ac:dyDescent="0.2">
      <c r="A28" s="320"/>
      <c r="B28" s="320"/>
      <c r="C28" s="320"/>
      <c r="D28" s="439"/>
      <c r="E28" s="320"/>
      <c r="F28" s="320"/>
      <c r="G28" s="320"/>
      <c r="H28" s="320"/>
      <c r="I28" s="320"/>
    </row>
    <row r="29" spans="1:64" x14ac:dyDescent="0.2">
      <c r="A29" s="320"/>
      <c r="B29" s="320"/>
      <c r="C29" s="320"/>
      <c r="D29" s="439"/>
      <c r="E29" s="320"/>
      <c r="F29" s="320"/>
      <c r="G29" s="320"/>
      <c r="H29" s="320"/>
      <c r="I29" s="320"/>
    </row>
    <row r="30" spans="1:64" x14ac:dyDescent="0.2">
      <c r="A30" s="320"/>
      <c r="B30" s="320"/>
      <c r="C30" s="320"/>
      <c r="D30" s="439"/>
      <c r="E30" s="320"/>
      <c r="F30" s="320"/>
      <c r="G30" s="320"/>
      <c r="H30" s="320"/>
      <c r="I30" s="320"/>
    </row>
    <row r="31" spans="1:64" x14ac:dyDescent="0.2">
      <c r="A31" s="320"/>
      <c r="B31" s="320"/>
      <c r="C31" s="320"/>
      <c r="D31" s="439"/>
      <c r="E31" s="320"/>
      <c r="F31" s="320"/>
      <c r="G31" s="320"/>
      <c r="H31" s="320"/>
      <c r="I31" s="320"/>
    </row>
    <row r="32" spans="1:64" x14ac:dyDescent="0.2">
      <c r="A32" s="320"/>
      <c r="B32" s="320"/>
      <c r="C32" s="320"/>
      <c r="D32" s="439"/>
      <c r="E32" s="320"/>
      <c r="F32" s="320"/>
      <c r="G32" s="320"/>
      <c r="H32" s="320"/>
      <c r="I32" s="320"/>
    </row>
    <row r="33" spans="1:9" x14ac:dyDescent="0.2">
      <c r="A33" s="320"/>
      <c r="B33" s="320"/>
      <c r="C33" s="320"/>
      <c r="D33" s="439"/>
      <c r="E33" s="320"/>
      <c r="F33" s="320"/>
      <c r="G33" s="320"/>
      <c r="H33" s="320"/>
      <c r="I33" s="320"/>
    </row>
    <row r="34" spans="1:9" x14ac:dyDescent="0.2">
      <c r="A34" s="320"/>
      <c r="B34" s="320"/>
      <c r="C34" s="320"/>
      <c r="D34" s="439"/>
      <c r="E34" s="320"/>
      <c r="F34" s="320"/>
      <c r="G34" s="320"/>
      <c r="H34" s="320"/>
      <c r="I34" s="320"/>
    </row>
    <row r="35" spans="1:9" x14ac:dyDescent="0.2">
      <c r="A35" s="320"/>
      <c r="B35" s="320"/>
      <c r="C35" s="320"/>
      <c r="D35" s="439"/>
      <c r="E35" s="320"/>
      <c r="F35" s="320"/>
      <c r="G35" s="320"/>
      <c r="H35" s="320"/>
      <c r="I35" s="320"/>
    </row>
    <row r="36" spans="1:9" x14ac:dyDescent="0.2">
      <c r="A36" s="320"/>
      <c r="B36" s="320" t="s">
        <v>100</v>
      </c>
      <c r="C36" s="320"/>
      <c r="D36" s="439"/>
      <c r="E36" s="320"/>
      <c r="F36" s="320"/>
      <c r="G36" s="320"/>
      <c r="H36" s="320"/>
      <c r="I36" s="320"/>
    </row>
    <row r="37" spans="1:9" x14ac:dyDescent="0.2">
      <c r="A37" s="320"/>
      <c r="B37" s="320"/>
      <c r="C37" s="320"/>
      <c r="D37" s="439"/>
      <c r="E37" s="320"/>
      <c r="F37" s="320"/>
      <c r="G37" s="320"/>
      <c r="H37" s="320"/>
      <c r="I37" s="320"/>
    </row>
    <row r="38" spans="1:9" x14ac:dyDescent="0.2">
      <c r="A38" s="320"/>
      <c r="B38" s="320" t="s">
        <v>108</v>
      </c>
      <c r="C38" s="320"/>
      <c r="D38" s="439"/>
      <c r="E38" s="320"/>
      <c r="F38" s="320"/>
      <c r="G38" s="320"/>
      <c r="H38" s="320"/>
      <c r="I38" s="320"/>
    </row>
    <row r="39" spans="1:9" x14ac:dyDescent="0.2">
      <c r="A39" s="320"/>
      <c r="B39" s="320"/>
      <c r="C39" s="320"/>
      <c r="D39" s="439"/>
      <c r="E39" s="320"/>
      <c r="F39" s="320"/>
      <c r="G39" s="320"/>
      <c r="H39" s="320"/>
      <c r="I39" s="320"/>
    </row>
    <row r="40" spans="1:9" x14ac:dyDescent="0.2">
      <c r="A40" s="320"/>
      <c r="B40" s="320" t="s">
        <v>112</v>
      </c>
      <c r="C40" s="320"/>
      <c r="D40" s="439"/>
      <c r="E40" s="320"/>
      <c r="F40" s="320"/>
      <c r="G40" s="320"/>
      <c r="H40" s="320"/>
      <c r="I40" s="320"/>
    </row>
    <row r="41" spans="1:9" x14ac:dyDescent="0.2">
      <c r="A41" s="320"/>
      <c r="B41" s="320" t="s">
        <v>113</v>
      </c>
      <c r="C41" s="320"/>
      <c r="D41" s="439"/>
      <c r="E41" s="320"/>
      <c r="F41" s="320"/>
      <c r="G41" s="320"/>
      <c r="H41" s="320"/>
      <c r="I41" s="320"/>
    </row>
    <row r="42" spans="1:9" x14ac:dyDescent="0.2">
      <c r="A42" s="320"/>
      <c r="B42" s="320"/>
      <c r="C42" s="320"/>
      <c r="D42" s="439"/>
      <c r="E42" s="320"/>
      <c r="F42" s="320"/>
      <c r="G42" s="320"/>
      <c r="H42" s="320"/>
      <c r="I42" s="320"/>
    </row>
    <row r="43" spans="1:9" x14ac:dyDescent="0.2">
      <c r="A43" s="320"/>
      <c r="B43" s="320" t="s">
        <v>121</v>
      </c>
      <c r="C43" s="320"/>
      <c r="D43" s="439"/>
      <c r="E43" s="320"/>
      <c r="F43" s="320"/>
      <c r="G43" s="320"/>
      <c r="H43" s="320"/>
      <c r="I43" s="320"/>
    </row>
    <row r="44" spans="1:9" x14ac:dyDescent="0.2">
      <c r="A44" s="320"/>
      <c r="B44" s="320"/>
      <c r="C44" s="320"/>
      <c r="D44" s="439"/>
      <c r="E44" s="320"/>
      <c r="F44" s="320"/>
      <c r="G44" s="320"/>
      <c r="H44" s="320"/>
      <c r="I44" s="320"/>
    </row>
    <row r="45" spans="1:9" x14ac:dyDescent="0.2">
      <c r="A45" s="320"/>
      <c r="B45" s="320"/>
      <c r="C45" s="320"/>
      <c r="D45" s="439"/>
      <c r="E45" s="320"/>
      <c r="F45" s="320"/>
      <c r="G45" s="320"/>
      <c r="H45" s="320"/>
      <c r="I45" s="320"/>
    </row>
    <row r="46" spans="1:9" x14ac:dyDescent="0.2">
      <c r="A46" s="320"/>
      <c r="B46" s="320"/>
      <c r="C46" s="320"/>
      <c r="D46" s="439"/>
      <c r="E46" s="320"/>
      <c r="F46" s="320"/>
      <c r="G46" s="320"/>
      <c r="H46" s="320"/>
      <c r="I46" s="320"/>
    </row>
    <row r="47" spans="1:9" x14ac:dyDescent="0.2">
      <c r="A47" s="320"/>
      <c r="B47" s="440"/>
      <c r="C47" s="320"/>
      <c r="D47" s="439"/>
      <c r="E47" s="320"/>
      <c r="F47" s="320"/>
      <c r="G47" s="320"/>
      <c r="H47" s="320"/>
      <c r="I47" s="320"/>
    </row>
    <row r="48" spans="1:9" x14ac:dyDescent="0.2">
      <c r="A48" s="320"/>
      <c r="B48" s="440"/>
      <c r="C48" s="320" t="s">
        <v>125</v>
      </c>
      <c r="D48" s="441"/>
      <c r="E48" s="320"/>
      <c r="F48" s="320"/>
      <c r="G48" s="320"/>
      <c r="H48" s="320"/>
      <c r="I48" s="320"/>
    </row>
    <row r="49" spans="1:9" x14ac:dyDescent="0.2">
      <c r="A49" s="320"/>
      <c r="B49" s="440"/>
      <c r="C49" s="320"/>
      <c r="D49" s="441"/>
      <c r="E49" s="320"/>
      <c r="F49" s="320"/>
      <c r="G49" s="320"/>
      <c r="H49" s="320"/>
      <c r="I49" s="320"/>
    </row>
    <row r="50" spans="1:9" x14ac:dyDescent="0.2">
      <c r="A50" s="320"/>
      <c r="B50" s="440"/>
      <c r="C50" s="320" t="s">
        <v>126</v>
      </c>
      <c r="D50" s="442"/>
      <c r="E50" s="320"/>
      <c r="F50" s="320"/>
      <c r="G50" s="320"/>
      <c r="H50" s="320"/>
      <c r="I50" s="320"/>
    </row>
    <row r="51" spans="1:9" x14ac:dyDescent="0.2">
      <c r="A51" s="320"/>
      <c r="B51" s="320"/>
      <c r="C51" s="320"/>
      <c r="D51" s="439"/>
      <c r="E51" s="320"/>
      <c r="F51" s="320"/>
      <c r="G51" s="320"/>
      <c r="H51" s="320"/>
      <c r="I51" s="320"/>
    </row>
    <row r="52" spans="1:9" x14ac:dyDescent="0.2">
      <c r="A52" s="320"/>
      <c r="B52" s="320"/>
      <c r="C52" s="320"/>
      <c r="D52" s="439"/>
      <c r="E52" s="320"/>
      <c r="F52" s="320"/>
      <c r="G52" s="320"/>
      <c r="H52" s="320"/>
      <c r="I52" s="320"/>
    </row>
    <row r="53" spans="1:9" x14ac:dyDescent="0.2">
      <c r="A53" s="320"/>
      <c r="B53" s="320"/>
      <c r="C53" s="320"/>
      <c r="D53" s="439"/>
      <c r="E53" s="320"/>
      <c r="F53" s="320"/>
      <c r="G53" s="320"/>
      <c r="H53" s="320"/>
      <c r="I53" s="320"/>
    </row>
    <row r="54" spans="1:9" x14ac:dyDescent="0.2">
      <c r="A54" s="320"/>
      <c r="B54" s="320"/>
      <c r="C54" s="320"/>
      <c r="D54" s="439"/>
      <c r="E54" s="320"/>
      <c r="F54" s="320"/>
      <c r="G54" s="320"/>
      <c r="H54" s="320"/>
      <c r="I54" s="320"/>
    </row>
    <row r="55" spans="1:9" x14ac:dyDescent="0.2">
      <c r="A55" s="320"/>
      <c r="B55" s="320"/>
      <c r="C55" s="320"/>
      <c r="D55" s="439"/>
      <c r="E55" s="320"/>
      <c r="F55" s="320"/>
      <c r="G55" s="320"/>
      <c r="H55" s="320"/>
      <c r="I55" s="320"/>
    </row>
    <row r="56" spans="1:9" x14ac:dyDescent="0.2">
      <c r="A56" s="320"/>
      <c r="B56" s="320"/>
      <c r="C56" s="320" t="s">
        <v>146</v>
      </c>
      <c r="D56" s="439"/>
      <c r="E56" s="320"/>
      <c r="F56" s="320"/>
      <c r="G56" s="320"/>
      <c r="H56" s="320"/>
      <c r="I56" s="320"/>
    </row>
    <row r="57" spans="1:9" x14ac:dyDescent="0.2">
      <c r="A57" s="320"/>
      <c r="B57" s="320"/>
      <c r="C57" s="320" t="s">
        <v>57</v>
      </c>
      <c r="D57" s="439"/>
      <c r="E57" s="320"/>
      <c r="F57" s="320"/>
      <c r="G57" s="320"/>
      <c r="H57" s="320"/>
      <c r="I57" s="320"/>
    </row>
    <row r="58" spans="1:9" x14ac:dyDescent="0.2">
      <c r="A58" s="320"/>
      <c r="B58" s="320"/>
      <c r="C58" s="320" t="s">
        <v>152</v>
      </c>
      <c r="D58" s="439"/>
      <c r="E58" s="320"/>
      <c r="F58" s="320"/>
      <c r="G58" s="320"/>
      <c r="H58" s="320"/>
      <c r="I58" s="320"/>
    </row>
    <row r="59" spans="1:9" x14ac:dyDescent="0.2">
      <c r="A59" s="320"/>
      <c r="B59" s="320"/>
      <c r="C59" s="320"/>
      <c r="D59" s="439"/>
      <c r="E59" s="320"/>
      <c r="F59" s="320"/>
      <c r="G59" s="320"/>
      <c r="H59" s="320"/>
      <c r="I59" s="320"/>
    </row>
    <row r="60" spans="1:9" x14ac:dyDescent="0.2">
      <c r="A60" s="320"/>
      <c r="B60" s="320"/>
      <c r="C60" s="320" t="s">
        <v>153</v>
      </c>
      <c r="D60" s="439"/>
      <c r="E60" s="320"/>
      <c r="F60" s="320"/>
      <c r="G60" s="320"/>
      <c r="H60" s="320"/>
      <c r="I60" s="320"/>
    </row>
    <row r="61" spans="1:9" x14ac:dyDescent="0.2">
      <c r="A61" s="320"/>
      <c r="B61" s="320"/>
      <c r="C61" s="320"/>
      <c r="D61" s="439"/>
      <c r="E61" s="320"/>
      <c r="F61" s="320"/>
      <c r="G61" s="320"/>
      <c r="H61" s="320"/>
      <c r="I61" s="320"/>
    </row>
    <row r="62" spans="1:9" x14ac:dyDescent="0.2">
      <c r="A62" s="320"/>
      <c r="B62" s="320"/>
      <c r="C62" s="320"/>
      <c r="D62" s="439"/>
      <c r="E62" s="320"/>
      <c r="F62" s="320"/>
      <c r="G62" s="320"/>
      <c r="H62" s="320"/>
      <c r="I62" s="320"/>
    </row>
    <row r="63" spans="1:9" x14ac:dyDescent="0.2">
      <c r="A63" s="320"/>
      <c r="B63" s="320"/>
      <c r="C63" s="320"/>
      <c r="D63" s="439"/>
      <c r="E63" s="320"/>
      <c r="F63" s="320"/>
      <c r="G63" s="320"/>
      <c r="H63" s="320"/>
      <c r="I63" s="320"/>
    </row>
    <row r="64" spans="1:9" x14ac:dyDescent="0.2">
      <c r="A64" s="320"/>
      <c r="B64" s="320"/>
      <c r="C64" s="320"/>
      <c r="D64" s="439"/>
      <c r="E64" s="320"/>
      <c r="F64" s="320"/>
      <c r="G64" s="320"/>
      <c r="H64" s="320"/>
      <c r="I64" s="320"/>
    </row>
    <row r="65" spans="1:9" x14ac:dyDescent="0.2">
      <c r="A65" s="320"/>
      <c r="B65" s="320"/>
      <c r="C65" s="320"/>
      <c r="D65" s="439"/>
      <c r="E65" s="320"/>
      <c r="F65" s="320"/>
      <c r="G65" s="320"/>
      <c r="H65" s="320"/>
      <c r="I65" s="320"/>
    </row>
    <row r="66" spans="1:9" x14ac:dyDescent="0.2">
      <c r="A66" s="320"/>
      <c r="B66" s="320"/>
      <c r="C66" s="320" t="s">
        <v>154</v>
      </c>
      <c r="D66" s="439"/>
      <c r="E66" s="320"/>
      <c r="F66" s="320"/>
      <c r="G66" s="320"/>
      <c r="H66" s="320"/>
      <c r="I66" s="320"/>
    </row>
    <row r="67" spans="1:9" x14ac:dyDescent="0.2">
      <c r="A67" s="320"/>
      <c r="B67" s="320"/>
      <c r="C67" s="320"/>
      <c r="D67" s="439"/>
      <c r="E67" s="320"/>
      <c r="F67" s="320"/>
      <c r="G67" s="320"/>
      <c r="H67" s="320"/>
      <c r="I67" s="320"/>
    </row>
    <row r="68" spans="1:9" x14ac:dyDescent="0.2">
      <c r="A68" s="320"/>
      <c r="B68" s="320"/>
      <c r="C68" s="320"/>
      <c r="D68" s="439"/>
      <c r="E68" s="320"/>
      <c r="F68" s="320"/>
      <c r="G68" s="320"/>
      <c r="H68" s="320"/>
      <c r="I68" s="320"/>
    </row>
    <row r="69" spans="1:9" x14ac:dyDescent="0.2">
      <c r="A69" s="320"/>
      <c r="B69" s="320"/>
      <c r="C69" s="320"/>
      <c r="D69" s="439"/>
      <c r="E69" s="320"/>
      <c r="F69" s="320"/>
      <c r="G69" s="320"/>
      <c r="H69" s="320"/>
      <c r="I69" s="320"/>
    </row>
    <row r="70" spans="1:9" x14ac:dyDescent="0.2">
      <c r="A70" s="320"/>
      <c r="B70" s="320"/>
      <c r="C70" s="320"/>
      <c r="D70" s="439"/>
      <c r="E70" s="320"/>
      <c r="F70" s="320"/>
      <c r="G70" s="320"/>
      <c r="H70" s="320"/>
      <c r="I70" s="320"/>
    </row>
    <row r="71" spans="1:9" x14ac:dyDescent="0.2">
      <c r="A71" s="320"/>
      <c r="B71" s="320"/>
      <c r="C71" s="320"/>
      <c r="D71" s="439"/>
      <c r="E71" s="320"/>
      <c r="F71" s="320"/>
      <c r="G71" s="320"/>
      <c r="H71" s="320"/>
      <c r="I71" s="320"/>
    </row>
    <row r="72" spans="1:9" x14ac:dyDescent="0.2">
      <c r="A72" s="320"/>
      <c r="B72" s="320"/>
      <c r="C72" s="320"/>
      <c r="D72" s="439"/>
      <c r="E72" s="320"/>
      <c r="F72" s="320"/>
      <c r="G72" s="320"/>
      <c r="H72" s="320"/>
      <c r="I72" s="320"/>
    </row>
    <row r="73" spans="1:9" x14ac:dyDescent="0.2">
      <c r="A73" s="320"/>
      <c r="B73" s="320"/>
      <c r="C73" s="320"/>
      <c r="D73" s="439"/>
      <c r="E73" s="320"/>
      <c r="F73" s="320"/>
      <c r="G73" s="320"/>
      <c r="H73" s="320"/>
      <c r="I73" s="320"/>
    </row>
    <row r="74" spans="1:9" x14ac:dyDescent="0.2">
      <c r="A74" s="320"/>
      <c r="B74" s="320"/>
      <c r="C74" s="320"/>
      <c r="D74" s="439"/>
      <c r="E74" s="320"/>
      <c r="F74" s="320"/>
      <c r="G74" s="320"/>
      <c r="H74" s="320"/>
      <c r="I74" s="320"/>
    </row>
    <row r="75" spans="1:9" x14ac:dyDescent="0.2">
      <c r="A75" s="320"/>
      <c r="B75" s="320"/>
      <c r="C75" s="320"/>
      <c r="D75" s="439"/>
      <c r="E75" s="320"/>
      <c r="F75" s="320"/>
      <c r="G75" s="320"/>
      <c r="H75" s="320"/>
      <c r="I75" s="320"/>
    </row>
    <row r="76" spans="1:9" x14ac:dyDescent="0.2">
      <c r="A76" s="320"/>
      <c r="B76" s="320"/>
      <c r="C76" s="320"/>
      <c r="D76" s="439"/>
      <c r="E76" s="320"/>
      <c r="F76" s="320"/>
      <c r="G76" s="320"/>
      <c r="H76" s="320"/>
      <c r="I76" s="320"/>
    </row>
    <row r="77" spans="1:9" x14ac:dyDescent="0.2">
      <c r="A77" s="320"/>
      <c r="B77" s="320"/>
      <c r="C77" s="320"/>
      <c r="D77" s="439"/>
      <c r="E77" s="320"/>
      <c r="F77" s="320"/>
      <c r="G77" s="320"/>
      <c r="H77" s="320"/>
      <c r="I77" s="320"/>
    </row>
    <row r="78" spans="1:9" x14ac:dyDescent="0.2">
      <c r="A78" s="320"/>
      <c r="B78" s="320"/>
      <c r="C78" s="320"/>
      <c r="D78" s="439"/>
      <c r="E78" s="320"/>
      <c r="F78" s="320"/>
      <c r="G78" s="320"/>
      <c r="H78" s="320"/>
      <c r="I78" s="320"/>
    </row>
    <row r="79" spans="1:9" x14ac:dyDescent="0.2">
      <c r="A79" s="320"/>
      <c r="B79" s="320"/>
      <c r="C79" s="320"/>
      <c r="D79" s="439"/>
      <c r="E79" s="320"/>
      <c r="F79" s="320"/>
      <c r="G79" s="320"/>
      <c r="H79" s="320"/>
      <c r="I79" s="320"/>
    </row>
    <row r="80" spans="1:9" x14ac:dyDescent="0.2">
      <c r="A80" s="320"/>
      <c r="B80" s="320"/>
      <c r="C80" s="320"/>
      <c r="D80" s="439"/>
      <c r="E80" s="320"/>
      <c r="F80" s="320"/>
      <c r="G80" s="320"/>
      <c r="H80" s="320"/>
      <c r="I80" s="320"/>
    </row>
    <row r="81" spans="1:9" x14ac:dyDescent="0.2">
      <c r="A81" s="320"/>
      <c r="B81" s="320"/>
      <c r="C81" s="320"/>
      <c r="D81" s="439"/>
      <c r="E81" s="320"/>
      <c r="F81" s="320"/>
      <c r="G81" s="320"/>
      <c r="H81" s="320"/>
      <c r="I81" s="320"/>
    </row>
    <row r="82" spans="1:9" x14ac:dyDescent="0.2">
      <c r="A82" s="320"/>
      <c r="B82" s="320"/>
      <c r="C82" s="320" t="s">
        <v>160</v>
      </c>
      <c r="D82" s="439"/>
      <c r="E82" s="320"/>
      <c r="F82" s="320"/>
      <c r="G82" s="320"/>
      <c r="H82" s="320"/>
      <c r="I82" s="320"/>
    </row>
    <row r="83" spans="1:9" x14ac:dyDescent="0.2">
      <c r="A83" s="320"/>
      <c r="B83" s="320"/>
      <c r="C83" s="320"/>
      <c r="D83" s="439"/>
      <c r="E83" s="320"/>
      <c r="F83" s="320"/>
      <c r="G83" s="320"/>
      <c r="H83" s="320"/>
      <c r="I83" s="320"/>
    </row>
    <row r="84" spans="1:9" x14ac:dyDescent="0.2">
      <c r="A84" s="320"/>
      <c r="B84" s="320"/>
      <c r="C84" s="320" t="s">
        <v>166</v>
      </c>
      <c r="D84" s="439"/>
      <c r="E84" s="320"/>
      <c r="F84" s="320"/>
      <c r="G84" s="320"/>
      <c r="H84" s="320"/>
      <c r="I84" s="320"/>
    </row>
    <row r="85" spans="1:9" x14ac:dyDescent="0.2">
      <c r="A85" s="320"/>
      <c r="B85" s="320"/>
      <c r="C85" s="320"/>
      <c r="D85" s="439"/>
      <c r="E85" s="320"/>
      <c r="F85" s="320"/>
      <c r="G85" s="320"/>
      <c r="H85" s="320"/>
      <c r="I85" s="320"/>
    </row>
    <row r="86" spans="1:9" x14ac:dyDescent="0.2">
      <c r="A86" s="320"/>
      <c r="B86" s="320"/>
      <c r="C86" s="320" t="s">
        <v>167</v>
      </c>
      <c r="D86" s="439"/>
      <c r="E86" s="320"/>
      <c r="F86" s="320"/>
      <c r="G86" s="320"/>
      <c r="H86" s="320"/>
      <c r="I86" s="320"/>
    </row>
    <row r="87" spans="1:9" x14ac:dyDescent="0.2">
      <c r="A87" s="320"/>
      <c r="B87" s="320"/>
      <c r="C87" s="320"/>
      <c r="D87" s="439"/>
      <c r="E87" s="320"/>
      <c r="F87" s="320"/>
      <c r="G87" s="320"/>
      <c r="H87" s="320"/>
      <c r="I87" s="320"/>
    </row>
  </sheetData>
  <pageMargins left="0.70866141732283472" right="0.70866141732283472" top="0.74803149606299213" bottom="0.74803149606299213" header="0.31496062992125984" footer="0.31496062992125984"/>
  <pageSetup scale="7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8F53E-56C8-A048-B8B7-35CA902BCE36}">
  <dimension ref="B9:H25"/>
  <sheetViews>
    <sheetView topLeftCell="A3" zoomScale="171" workbookViewId="0">
      <selection activeCell="D28" sqref="D28"/>
    </sheetView>
  </sheetViews>
  <sheetFormatPr baseColWidth="10" defaultRowHeight="16" x14ac:dyDescent="0.2"/>
  <cols>
    <col min="2" max="2" width="14.5" customWidth="1"/>
  </cols>
  <sheetData>
    <row r="9" spans="2:8" x14ac:dyDescent="0.2">
      <c r="B9" s="400" t="s">
        <v>134</v>
      </c>
      <c r="C9" s="401">
        <v>2025</v>
      </c>
      <c r="D9" s="402" t="s">
        <v>129</v>
      </c>
      <c r="E9" s="402" t="s">
        <v>130</v>
      </c>
      <c r="F9" s="402" t="s">
        <v>131</v>
      </c>
      <c r="G9" s="402" t="s">
        <v>132</v>
      </c>
      <c r="H9" s="403" t="s">
        <v>133</v>
      </c>
    </row>
    <row r="10" spans="2:8" x14ac:dyDescent="0.2">
      <c r="B10" s="404" t="s">
        <v>148</v>
      </c>
      <c r="C10" s="405">
        <f>'Balance Sheet'!Z18</f>
        <v>110.85262500000002</v>
      </c>
      <c r="D10" s="405">
        <v>211.82385000000002</v>
      </c>
      <c r="E10" s="405">
        <v>383.78337375000001</v>
      </c>
      <c r="F10" s="405">
        <v>659.99815612500004</v>
      </c>
      <c r="G10" s="405">
        <v>1077.0731678437501</v>
      </c>
      <c r="H10" s="406">
        <v>1667.03442819375</v>
      </c>
    </row>
    <row r="11" spans="2:8" x14ac:dyDescent="0.2">
      <c r="B11" s="404" t="s">
        <v>169</v>
      </c>
      <c r="C11" s="405">
        <f>'Balance Sheet'!Z20</f>
        <v>112.19025000000001</v>
      </c>
      <c r="D11" s="405">
        <f>'Balance Sheet'!AE20</f>
        <v>201.94245000000001</v>
      </c>
      <c r="E11" s="405">
        <f>'Balance Sheet'!AF20</f>
        <v>343.91904750000003</v>
      </c>
      <c r="F11" s="405">
        <f>'Balance Sheet'!AG20</f>
        <v>552.42956475000005</v>
      </c>
      <c r="G11" s="405">
        <f>'Balance Sheet'!AH20</f>
        <v>834.15002343750007</v>
      </c>
      <c r="H11" s="405">
        <f>'Balance Sheet'!AI20</f>
        <v>1179.9225207</v>
      </c>
    </row>
    <row r="12" spans="2:8" x14ac:dyDescent="0.2">
      <c r="B12" s="404" t="s">
        <v>168</v>
      </c>
      <c r="C12" s="405">
        <f>'Balance Sheet'!Z47</f>
        <v>5.609512500000001</v>
      </c>
      <c r="D12" s="405">
        <f>'Balance Sheet'!AE47</f>
        <v>30</v>
      </c>
      <c r="E12" s="405">
        <f>'Balance Sheet'!AF47</f>
        <v>62</v>
      </c>
      <c r="F12" s="405">
        <f>'Balance Sheet'!AG47</f>
        <v>31</v>
      </c>
      <c r="G12" s="405">
        <f>'Balance Sheet'!AH47</f>
        <v>180</v>
      </c>
      <c r="H12" s="405">
        <f>'Balance Sheet'!AI47</f>
        <v>376</v>
      </c>
    </row>
    <row r="13" spans="2:8" x14ac:dyDescent="0.2">
      <c r="B13" s="404" t="s">
        <v>46</v>
      </c>
      <c r="C13" s="405">
        <v>56.095125000000003</v>
      </c>
      <c r="D13" s="405">
        <v>100.971225</v>
      </c>
      <c r="E13" s="405">
        <v>171.95952375000002</v>
      </c>
      <c r="F13" s="405">
        <v>276.21478237500003</v>
      </c>
      <c r="G13" s="405">
        <v>417.07501171875003</v>
      </c>
      <c r="H13" s="406">
        <v>589.96126034999998</v>
      </c>
    </row>
    <row r="14" spans="2:8" x14ac:dyDescent="0.2">
      <c r="B14" s="404" t="s">
        <v>149</v>
      </c>
      <c r="C14" s="409"/>
      <c r="D14" s="409">
        <f>(D10-C10)+D13+D12</f>
        <v>231.94245000000001</v>
      </c>
      <c r="E14" s="409">
        <f t="shared" ref="E14:H14" si="0">(E10-D10)+E13+E12</f>
        <v>405.91904750000003</v>
      </c>
      <c r="F14" s="409">
        <f t="shared" si="0"/>
        <v>583.42956475000005</v>
      </c>
      <c r="G14" s="409">
        <f t="shared" si="0"/>
        <v>1014.1500234375001</v>
      </c>
      <c r="H14" s="409">
        <f t="shared" si="0"/>
        <v>1555.9225207</v>
      </c>
    </row>
    <row r="15" spans="2:8" x14ac:dyDescent="0.2">
      <c r="B15" s="410"/>
      <c r="C15" s="407"/>
      <c r="D15" s="407"/>
      <c r="E15" s="407"/>
      <c r="F15" s="407"/>
      <c r="G15" s="407"/>
      <c r="H15" s="408"/>
    </row>
    <row r="23" spans="2:8" x14ac:dyDescent="0.2">
      <c r="B23" s="400" t="s">
        <v>134</v>
      </c>
      <c r="C23" s="401">
        <v>2025</v>
      </c>
      <c r="D23" s="402" t="s">
        <v>129</v>
      </c>
      <c r="E23" s="402" t="s">
        <v>130</v>
      </c>
      <c r="F23" s="402" t="s">
        <v>131</v>
      </c>
      <c r="G23" s="402" t="s">
        <v>132</v>
      </c>
      <c r="H23" s="403" t="s">
        <v>133</v>
      </c>
    </row>
    <row r="24" spans="2:8" x14ac:dyDescent="0.2">
      <c r="B24" s="415" t="s">
        <v>150</v>
      </c>
      <c r="C24" s="405">
        <f>('Balance Sheet'!Z12+'Balance Sheet'!Z14)-'Balance Sheet'!Z28</f>
        <v>72.032610000000005</v>
      </c>
      <c r="D24" s="405">
        <f>('Balance Sheet'!AE12+'Balance Sheet'!AE14)-'Balance Sheet'!AE28</f>
        <v>129.65869799999999</v>
      </c>
      <c r="E24" s="405">
        <f>('Balance Sheet'!AF12+'Balance Sheet'!AF14)-'Balance Sheet'!AF28</f>
        <v>447.09476175000003</v>
      </c>
      <c r="F24" s="405">
        <f>('Balance Sheet'!AG12+'Balance Sheet'!AG14)-'Balance Sheet'!AG28</f>
        <v>718.15843417500002</v>
      </c>
      <c r="G24" s="405">
        <f>('Balance Sheet'!AH12+'Balance Sheet'!AH14)-'Balance Sheet'!AH28</f>
        <v>1084.3950304687501</v>
      </c>
      <c r="H24" s="406">
        <f>('Balance Sheet'!AI12+'Balance Sheet'!AI14)-'Balance Sheet'!AI28</f>
        <v>1533.89927691</v>
      </c>
    </row>
    <row r="25" spans="2:8" x14ac:dyDescent="0.2">
      <c r="B25" s="411" t="s">
        <v>151</v>
      </c>
      <c r="C25" s="412"/>
      <c r="D25" s="413">
        <f>D24-C24</f>
        <v>57.626087999999982</v>
      </c>
      <c r="E25" s="413">
        <f t="shared" ref="E25:H25" si="1">E24-D24</f>
        <v>317.43606375000002</v>
      </c>
      <c r="F25" s="413">
        <f t="shared" si="1"/>
        <v>271.06367242499999</v>
      </c>
      <c r="G25" s="413">
        <f t="shared" si="1"/>
        <v>366.23659629375004</v>
      </c>
      <c r="H25" s="414">
        <f t="shared" si="1"/>
        <v>449.50424644124996</v>
      </c>
    </row>
  </sheetData>
  <pageMargins left="0.7" right="0.7" top="0.75" bottom="0.75" header="0.3" footer="0.3"/>
  <pageSetup paperSize="9" orientation="portrait" horizontalDpi="0" verticalDpi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23"/>
  <sheetViews>
    <sheetView showGridLines="0" workbookViewId="0">
      <pane xSplit="1" ySplit="6" topLeftCell="N7" activePane="bottomRight" state="frozen"/>
      <selection pane="topRight" activeCell="B1" sqref="B1"/>
      <selection pane="bottomLeft" activeCell="A7" sqref="A7"/>
      <selection pane="bottomRight"/>
    </sheetView>
  </sheetViews>
  <sheetFormatPr baseColWidth="10" defaultColWidth="8.83203125" defaultRowHeight="14" outlineLevelCol="1" x14ac:dyDescent="0.2"/>
  <cols>
    <col min="1" max="1" width="43" style="128" customWidth="1"/>
    <col min="2" max="10" width="9.1640625" style="128" customWidth="1" outlineLevel="1"/>
    <col min="11" max="11" width="9.1640625" style="128" customWidth="1"/>
    <col min="12" max="15" width="9.1640625" style="128" customWidth="1" outlineLevel="1"/>
    <col min="16" max="16" width="9.1640625" style="128" customWidth="1"/>
    <col min="17" max="20" width="9.1640625" style="128" customWidth="1" outlineLevel="1"/>
    <col min="21" max="21" width="9.1640625" style="128" customWidth="1"/>
    <col min="22" max="25" width="9.1640625" style="128" customWidth="1" outlineLevel="1"/>
    <col min="26" max="26" width="9.1640625" style="128" customWidth="1"/>
    <col min="27" max="30" width="9.1640625" style="128" customWidth="1" outlineLevel="1"/>
    <col min="31" max="31" width="8.33203125" style="128" customWidth="1"/>
    <col min="32" max="34" width="9.1640625" style="128" customWidth="1"/>
    <col min="35" max="35" width="7.5" style="128" bestFit="1" customWidth="1"/>
    <col min="36" max="16384" width="8.83203125" style="128"/>
  </cols>
  <sheetData>
    <row r="1" spans="1:35" ht="16" x14ac:dyDescent="0.2">
      <c r="A1" s="168" t="s">
        <v>52</v>
      </c>
      <c r="B1" s="146"/>
      <c r="C1" s="146"/>
      <c r="D1" s="146"/>
      <c r="E1" s="146"/>
      <c r="F1" s="199"/>
      <c r="G1" s="200"/>
      <c r="H1" s="200"/>
      <c r="I1" s="200"/>
      <c r="J1" s="200"/>
      <c r="K1" s="200"/>
      <c r="L1" s="200"/>
      <c r="M1" s="200"/>
      <c r="N1" s="200"/>
      <c r="O1" s="200"/>
      <c r="P1" s="200"/>
      <c r="Q1" s="200"/>
      <c r="R1" s="200"/>
      <c r="S1" s="200"/>
      <c r="T1" s="200"/>
      <c r="U1" s="200"/>
      <c r="V1" s="200"/>
      <c r="W1" s="200"/>
      <c r="X1" s="200"/>
      <c r="Y1" s="200"/>
      <c r="Z1" s="200"/>
      <c r="AA1" s="200"/>
      <c r="AB1" s="200"/>
      <c r="AC1" s="200"/>
      <c r="AD1" s="200"/>
      <c r="AE1" s="200"/>
      <c r="AF1" s="200"/>
      <c r="AG1" s="200"/>
      <c r="AH1" s="200"/>
      <c r="AI1" s="200"/>
    </row>
    <row r="2" spans="1:35" ht="16" x14ac:dyDescent="0.2">
      <c r="A2" s="448" t="s">
        <v>34</v>
      </c>
      <c r="B2" s="448"/>
      <c r="C2" s="146"/>
      <c r="D2" s="146"/>
      <c r="E2" s="146"/>
      <c r="F2" s="201"/>
      <c r="G2" s="202"/>
      <c r="H2" s="202"/>
      <c r="I2" s="203"/>
      <c r="J2" s="202"/>
      <c r="K2" s="202"/>
      <c r="L2" s="202"/>
      <c r="M2" s="202"/>
      <c r="N2" s="202"/>
      <c r="O2" s="202"/>
      <c r="P2" s="202"/>
      <c r="Q2" s="202"/>
      <c r="R2" s="202"/>
      <c r="S2" s="202"/>
      <c r="T2" s="202"/>
      <c r="U2" s="204"/>
      <c r="V2" s="155"/>
      <c r="W2" s="202"/>
      <c r="X2" s="202"/>
      <c r="Y2" s="202"/>
      <c r="Z2" s="204"/>
      <c r="AA2" s="202"/>
      <c r="AB2" s="202"/>
      <c r="AC2" s="202"/>
      <c r="AD2" s="202"/>
      <c r="AE2" s="204"/>
      <c r="AF2" s="204"/>
      <c r="AG2" s="204"/>
      <c r="AH2" s="204"/>
      <c r="AI2" s="204"/>
    </row>
    <row r="3" spans="1:35" ht="15" thickBot="1" x14ac:dyDescent="0.25">
      <c r="A3" s="147" t="s">
        <v>53</v>
      </c>
      <c r="B3" s="156"/>
      <c r="C3" s="156"/>
      <c r="D3" s="148"/>
      <c r="E3" s="148"/>
      <c r="F3" s="258">
        <f>K$3-1</f>
        <v>-4</v>
      </c>
      <c r="G3" s="259"/>
      <c r="H3" s="260"/>
      <c r="I3" s="260"/>
      <c r="J3" s="260"/>
      <c r="K3" s="258">
        <f>P$3-1</f>
        <v>-3</v>
      </c>
      <c r="L3" s="261"/>
      <c r="M3" s="260"/>
      <c r="N3" s="260"/>
      <c r="O3" s="260"/>
      <c r="P3" s="258">
        <f>U$3-1</f>
        <v>-2</v>
      </c>
      <c r="Q3" s="260"/>
      <c r="R3" s="260"/>
      <c r="S3" s="260"/>
      <c r="T3" s="260"/>
      <c r="U3" s="258">
        <f>Z$3-1</f>
        <v>-1</v>
      </c>
      <c r="V3" s="262"/>
      <c r="W3" s="262"/>
      <c r="X3" s="262"/>
      <c r="Y3" s="262"/>
      <c r="Z3" s="258">
        <v>0</v>
      </c>
      <c r="AA3" s="258"/>
      <c r="AB3" s="258"/>
      <c r="AC3" s="258"/>
      <c r="AD3" s="258"/>
      <c r="AE3" s="258">
        <f>Z3+1</f>
        <v>1</v>
      </c>
      <c r="AF3" s="258">
        <f>AE3+1</f>
        <v>2</v>
      </c>
      <c r="AG3" s="258">
        <f>AF3+1</f>
        <v>3</v>
      </c>
      <c r="AH3" s="258">
        <f>AG3+1</f>
        <v>4</v>
      </c>
      <c r="AI3" s="258">
        <f>AH3+1</f>
        <v>5</v>
      </c>
    </row>
    <row r="4" spans="1:35" ht="15" hidden="1" thickBot="1" x14ac:dyDescent="0.25">
      <c r="A4" s="207" t="s">
        <v>54</v>
      </c>
      <c r="B4" s="150"/>
      <c r="C4" s="150"/>
      <c r="D4" s="150"/>
      <c r="E4" s="150"/>
      <c r="H4" s="158"/>
      <c r="I4" s="158"/>
      <c r="J4" s="158"/>
      <c r="K4" s="158"/>
      <c r="M4" s="158"/>
      <c r="N4" s="158"/>
      <c r="O4" s="158"/>
      <c r="P4" s="158"/>
      <c r="Q4" s="158"/>
      <c r="R4" s="158"/>
      <c r="S4" s="158"/>
      <c r="T4" s="158"/>
    </row>
    <row r="5" spans="1:35" ht="15" hidden="1" thickBot="1" x14ac:dyDescent="0.25">
      <c r="A5" s="179"/>
      <c r="B5" s="180" t="e">
        <f>#REF!</f>
        <v>#REF!</v>
      </c>
      <c r="C5" s="180"/>
      <c r="D5" s="180"/>
      <c r="E5" s="181"/>
      <c r="F5" s="149" t="e">
        <f>#REF!</f>
        <v>#REF!</v>
      </c>
      <c r="G5" s="180" t="e">
        <f>#REF!</f>
        <v>#REF!</v>
      </c>
      <c r="H5" s="180"/>
      <c r="I5" s="180"/>
      <c r="J5" s="181"/>
      <c r="K5" s="149" t="e">
        <f>#REF!</f>
        <v>#REF!</v>
      </c>
      <c r="L5" s="180" t="e">
        <f>#REF!</f>
        <v>#REF!</v>
      </c>
      <c r="M5" s="180"/>
      <c r="N5" s="180"/>
      <c r="O5" s="181"/>
      <c r="P5" s="149" t="e">
        <f>#REF!</f>
        <v>#REF!</v>
      </c>
      <c r="Q5" s="180" t="e">
        <f>#REF!</f>
        <v>#REF!</v>
      </c>
      <c r="R5" s="180"/>
      <c r="S5" s="180"/>
      <c r="T5" s="181"/>
      <c r="U5" s="149" t="e">
        <f>#REF!</f>
        <v>#REF!</v>
      </c>
      <c r="V5" s="180" t="e">
        <f>#REF!</f>
        <v>#REF!</v>
      </c>
      <c r="W5" s="180"/>
      <c r="X5" s="180"/>
      <c r="Y5" s="181"/>
      <c r="Z5" s="149" t="s">
        <v>3</v>
      </c>
      <c r="AA5" s="180" t="e">
        <f>#REF!</f>
        <v>#REF!</v>
      </c>
      <c r="AB5" s="180"/>
      <c r="AC5" s="180"/>
      <c r="AD5" s="181"/>
      <c r="AE5" s="149" t="s">
        <v>55</v>
      </c>
      <c r="AF5" s="149" t="s">
        <v>4</v>
      </c>
      <c r="AG5" s="149" t="e">
        <f>#REF!</f>
        <v>#REF!</v>
      </c>
      <c r="AH5" s="149" t="e">
        <f>#REF!</f>
        <v>#REF!</v>
      </c>
      <c r="AI5" s="149" t="e">
        <f>#REF!</f>
        <v>#REF!</v>
      </c>
    </row>
    <row r="6" spans="1:35" ht="15" thickBot="1" x14ac:dyDescent="0.25">
      <c r="A6" s="4"/>
      <c r="B6" s="77" t="str">
        <f ca="1">"1Q"&amp;RIGHT(F6,2)&amp;"A"</f>
        <v>1Q21A</v>
      </c>
      <c r="C6" s="77" t="str">
        <f ca="1">"2Q"&amp;RIGHT(F6,2)&amp;"A"</f>
        <v>2Q21A</v>
      </c>
      <c r="D6" s="77" t="str">
        <f ca="1">"3Q"&amp;RIGHT(F6,2)&amp;"A"</f>
        <v>3Q21A</v>
      </c>
      <c r="E6" s="77" t="str">
        <f ca="1">"4Q"&amp;RIGHT(F6,2)&amp;"A"</f>
        <v>4Q21A</v>
      </c>
      <c r="F6" s="78">
        <f ca="1">YEAR(TODAY())+F$3</f>
        <v>2021</v>
      </c>
      <c r="G6" s="77" t="str">
        <f ca="1">"1Q"&amp;RIGHT(K6,2)&amp;"A"</f>
        <v>1Q22A</v>
      </c>
      <c r="H6" s="77" t="str">
        <f ca="1">"2Q"&amp;RIGHT(K6,2)&amp;"A"</f>
        <v>2Q22A</v>
      </c>
      <c r="I6" s="77" t="str">
        <f ca="1">"3Q"&amp;RIGHT(K6,2)&amp;"A"</f>
        <v>3Q22A</v>
      </c>
      <c r="J6" s="77" t="str">
        <f ca="1">"4Q"&amp;RIGHT(K6,2)&amp;"A"</f>
        <v>4Q22A</v>
      </c>
      <c r="K6" s="78">
        <f ca="1">YEAR(TODAY())+K$3</f>
        <v>2022</v>
      </c>
      <c r="L6" s="77" t="str">
        <f ca="1">"1Q"&amp;RIGHT(P6,2)&amp;"A"</f>
        <v>1Q23A</v>
      </c>
      <c r="M6" s="77" t="str">
        <f ca="1">"2Q"&amp;RIGHT(P6,2)&amp;"A"</f>
        <v>2Q23A</v>
      </c>
      <c r="N6" s="77" t="str">
        <f ca="1">"3Q"&amp;RIGHT(P6,2)&amp;"A"</f>
        <v>3Q23A</v>
      </c>
      <c r="O6" s="77" t="str">
        <f ca="1">"4Q"&amp;RIGHT(P6,2)&amp;"A"</f>
        <v>4Q23A</v>
      </c>
      <c r="P6" s="78">
        <f ca="1">YEAR(TODAY())+P$3</f>
        <v>2023</v>
      </c>
      <c r="Q6" s="77" t="s">
        <v>60</v>
      </c>
      <c r="R6" s="77" t="s">
        <v>61</v>
      </c>
      <c r="S6" s="77" t="s">
        <v>62</v>
      </c>
      <c r="T6" s="77" t="s">
        <v>63</v>
      </c>
      <c r="U6" s="78">
        <f ca="1">YEAR(TODAY())+U$3</f>
        <v>2024</v>
      </c>
      <c r="V6" s="77" t="str">
        <f ca="1">IF(MONTH(TODAY())&gt;3,"1Q"&amp;RIGHT(Z6,2)&amp;"A","1Q"&amp;RIGHT(Z6,2)&amp;"A")</f>
        <v>1Q25A</v>
      </c>
      <c r="W6" s="77" t="str">
        <f ca="1">IF(MONTH(TODAY())&gt;6,"2Q"&amp;RIGHT(Z6,2)&amp;"A","2Q"&amp;RIGHT(Z6,2)&amp;"A")</f>
        <v>2Q25A</v>
      </c>
      <c r="X6" s="77" t="str">
        <f ca="1">IF(MONTH(TODAY())&gt;9,"3Q"&amp;RIGHT(Z6,2)&amp;"A","3Q"&amp;RIGHT(Z6,2)&amp;"A")</f>
        <v>3Q25A</v>
      </c>
      <c r="Y6" s="77" t="str">
        <f ca="1">"4Q"&amp;RIGHT(Z6,2)&amp;"A"</f>
        <v>4Q25A</v>
      </c>
      <c r="Z6" s="78">
        <f ca="1">YEAR(TODAY())+Z$3</f>
        <v>2025</v>
      </c>
      <c r="AA6" s="77" t="str">
        <f ca="1">"1Q"&amp;RIGHT(AE6,3)</f>
        <v>1Q26e</v>
      </c>
      <c r="AB6" s="77" t="str">
        <f ca="1">"2Q"&amp;RIGHT(AE6,3)</f>
        <v>2Q26e</v>
      </c>
      <c r="AC6" s="77" t="str">
        <f ca="1">"3Q"&amp;RIGHT(AE6,3)</f>
        <v>3Q26e</v>
      </c>
      <c r="AD6" s="77" t="str">
        <f ca="1">"4Q"&amp;RIGHT(AE6,3)</f>
        <v>4Q26e</v>
      </c>
      <c r="AE6" s="78" t="str">
        <f ca="1">YEAR(TODAY())+AE$3&amp;"e"</f>
        <v>2026e</v>
      </c>
      <c r="AF6" s="78" t="str">
        <f ca="1">YEAR(TODAY())+AF$3&amp;"e"</f>
        <v>2027e</v>
      </c>
      <c r="AG6" s="78" t="str">
        <f ca="1">YEAR(TODAY())+AG$3&amp;"e"</f>
        <v>2028e</v>
      </c>
      <c r="AH6" s="78" t="str">
        <f ca="1">YEAR(TODAY())+AH$3&amp;"e"</f>
        <v>2029e</v>
      </c>
      <c r="AI6" s="78" t="str">
        <f ca="1">YEAR(TODAY())+AI$3&amp;"e"</f>
        <v>2030e</v>
      </c>
    </row>
    <row r="7" spans="1:35" x14ac:dyDescent="0.2">
      <c r="A7" s="129" t="s">
        <v>56</v>
      </c>
      <c r="F7" s="130"/>
      <c r="K7" s="130" t="s">
        <v>57</v>
      </c>
      <c r="P7" s="130"/>
      <c r="S7" s="131"/>
      <c r="U7" s="132"/>
      <c r="Z7" s="133"/>
      <c r="AE7" s="133"/>
      <c r="AF7" s="133"/>
      <c r="AG7" s="133"/>
      <c r="AH7" s="133"/>
      <c r="AI7" s="133"/>
    </row>
    <row r="8" spans="1:35" x14ac:dyDescent="0.2">
      <c r="A8" s="133"/>
      <c r="F8" s="130"/>
      <c r="K8" s="130"/>
      <c r="P8" s="130"/>
      <c r="S8" s="131"/>
      <c r="U8" s="132"/>
      <c r="Z8" s="133"/>
      <c r="AE8" s="133"/>
      <c r="AF8" s="133"/>
      <c r="AG8" s="133"/>
      <c r="AH8" s="133"/>
      <c r="AI8" s="133"/>
    </row>
    <row r="9" spans="1:35" s="206" customFormat="1" ht="16" thickBot="1" x14ac:dyDescent="0.25">
      <c r="A9" s="208" t="s">
        <v>58</v>
      </c>
      <c r="B9" s="134">
        <f t="shared" ref="B9:AI9" si="0">B13+B18</f>
        <v>4.5</v>
      </c>
      <c r="C9" s="134">
        <f t="shared" si="0"/>
        <v>7</v>
      </c>
      <c r="D9" s="134">
        <f t="shared" si="0"/>
        <v>21.5</v>
      </c>
      <c r="E9" s="134">
        <f t="shared" si="0"/>
        <v>32</v>
      </c>
      <c r="F9" s="209">
        <f t="shared" si="0"/>
        <v>65</v>
      </c>
      <c r="G9" s="134">
        <f t="shared" si="0"/>
        <v>9.8000000000000007</v>
      </c>
      <c r="H9" s="134">
        <f t="shared" si="0"/>
        <v>15.200000000000001</v>
      </c>
      <c r="I9" s="134">
        <f t="shared" si="0"/>
        <v>47</v>
      </c>
      <c r="J9" s="134">
        <f t="shared" si="0"/>
        <v>70</v>
      </c>
      <c r="K9" s="209">
        <f t="shared" si="0"/>
        <v>142</v>
      </c>
      <c r="L9" s="135">
        <f t="shared" si="0"/>
        <v>20.430000000000003</v>
      </c>
      <c r="M9" s="135">
        <f t="shared" si="0"/>
        <v>31.62</v>
      </c>
      <c r="N9" s="135">
        <f t="shared" si="0"/>
        <v>98.25</v>
      </c>
      <c r="O9" s="135">
        <f t="shared" si="0"/>
        <v>146.4</v>
      </c>
      <c r="P9" s="209">
        <f t="shared" si="0"/>
        <v>296.70000000000005</v>
      </c>
      <c r="Q9" s="135">
        <f t="shared" si="0"/>
        <v>40.665000000000006</v>
      </c>
      <c r="R9" s="135">
        <f t="shared" si="0"/>
        <v>62.85</v>
      </c>
      <c r="S9" s="135">
        <f t="shared" si="0"/>
        <v>195.91500000000002</v>
      </c>
      <c r="T9" s="135">
        <f t="shared" si="0"/>
        <v>292.02</v>
      </c>
      <c r="U9" s="209">
        <f t="shared" si="0"/>
        <v>591.45000000000005</v>
      </c>
      <c r="V9" s="135">
        <f t="shared" si="0"/>
        <v>77.078250000000011</v>
      </c>
      <c r="W9" s="135">
        <f t="shared" si="0"/>
        <v>119.0445</v>
      </c>
      <c r="X9" s="135">
        <f t="shared" si="0"/>
        <v>371.68275</v>
      </c>
      <c r="Y9" s="135">
        <f t="shared" si="0"/>
        <v>554.09699999999998</v>
      </c>
      <c r="Z9" s="209">
        <f t="shared" si="0"/>
        <v>1121.9025000000001</v>
      </c>
      <c r="AA9" s="134">
        <f t="shared" si="0"/>
        <v>138.74085000000005</v>
      </c>
      <c r="AB9" s="134">
        <f t="shared" si="0"/>
        <v>214.2801</v>
      </c>
      <c r="AC9" s="134">
        <f t="shared" si="0"/>
        <v>669.02895000000012</v>
      </c>
      <c r="AD9" s="134">
        <f t="shared" si="0"/>
        <v>997.37459999999987</v>
      </c>
      <c r="AE9" s="136">
        <f t="shared" si="0"/>
        <v>2019.4245000000001</v>
      </c>
      <c r="AF9" s="136">
        <f t="shared" si="0"/>
        <v>3439.1904749999999</v>
      </c>
      <c r="AG9" s="136">
        <f t="shared" si="0"/>
        <v>5524.2956475000001</v>
      </c>
      <c r="AH9" s="136">
        <f t="shared" si="0"/>
        <v>8341.5002343750002</v>
      </c>
      <c r="AI9" s="136">
        <f t="shared" si="0"/>
        <v>11799.225207</v>
      </c>
    </row>
    <row r="10" spans="1:35" s="144" customFormat="1" ht="15" thickTop="1" x14ac:dyDescent="0.2">
      <c r="A10" s="210" t="s">
        <v>37</v>
      </c>
      <c r="B10" s="137"/>
      <c r="C10" s="137"/>
      <c r="D10" s="137"/>
      <c r="E10" s="137"/>
      <c r="F10" s="138"/>
      <c r="G10" s="137">
        <f t="shared" ref="G10:AD10" si="1">G9/B9-1</f>
        <v>1.177777777777778</v>
      </c>
      <c r="H10" s="137">
        <f t="shared" si="1"/>
        <v>1.1714285714285717</v>
      </c>
      <c r="I10" s="137">
        <f t="shared" si="1"/>
        <v>1.1860465116279069</v>
      </c>
      <c r="J10" s="137">
        <f t="shared" si="1"/>
        <v>1.1875</v>
      </c>
      <c r="K10" s="138">
        <f t="shared" si="1"/>
        <v>1.1846153846153844</v>
      </c>
      <c r="L10" s="137">
        <f>L9/G9-1</f>
        <v>1.0846938775510204</v>
      </c>
      <c r="M10" s="137">
        <f t="shared" si="1"/>
        <v>1.0802631578947368</v>
      </c>
      <c r="N10" s="137">
        <f t="shared" si="1"/>
        <v>1.0904255319148937</v>
      </c>
      <c r="O10" s="137">
        <f t="shared" si="1"/>
        <v>1.0914285714285716</v>
      </c>
      <c r="P10" s="138">
        <f t="shared" si="1"/>
        <v>1.0894366197183101</v>
      </c>
      <c r="Q10" s="137">
        <f t="shared" si="1"/>
        <v>0.99045521292217331</v>
      </c>
      <c r="R10" s="137">
        <f t="shared" si="1"/>
        <v>0.98766603415559762</v>
      </c>
      <c r="S10" s="137">
        <f t="shared" si="1"/>
        <v>0.99404580152671773</v>
      </c>
      <c r="T10" s="137">
        <f t="shared" si="1"/>
        <v>0.99467213114754083</v>
      </c>
      <c r="U10" s="138">
        <f t="shared" si="1"/>
        <v>0.99342770475227482</v>
      </c>
      <c r="V10" s="137">
        <f t="shared" si="1"/>
        <v>0.89544448542973076</v>
      </c>
      <c r="W10" s="137">
        <f t="shared" si="1"/>
        <v>0.89410501193317415</v>
      </c>
      <c r="X10" s="137">
        <f t="shared" si="1"/>
        <v>0.89716331061940102</v>
      </c>
      <c r="Y10" s="137">
        <f t="shared" si="1"/>
        <v>0.89746250256831739</v>
      </c>
      <c r="Z10" s="138">
        <f t="shared" si="1"/>
        <v>0.89686786710626443</v>
      </c>
      <c r="AA10" s="137">
        <f t="shared" si="1"/>
        <v>0.80000000000000049</v>
      </c>
      <c r="AB10" s="137">
        <f t="shared" si="1"/>
        <v>0.8</v>
      </c>
      <c r="AC10" s="137">
        <f t="shared" si="1"/>
        <v>0.80000000000000027</v>
      </c>
      <c r="AD10" s="137">
        <f t="shared" si="1"/>
        <v>0.79999999999999982</v>
      </c>
      <c r="AE10" s="138">
        <f>AE9/Z9-1</f>
        <v>0.79999999999999982</v>
      </c>
      <c r="AF10" s="138">
        <f>AF9/AE9-1</f>
        <v>0.70305474406198387</v>
      </c>
      <c r="AG10" s="138">
        <f>AG9/AF9-1</f>
        <v>0.60627789814403932</v>
      </c>
      <c r="AH10" s="138">
        <f>AH9/AG9-1</f>
        <v>0.50996629554935491</v>
      </c>
      <c r="AI10" s="138">
        <f>AI9/AH9-1</f>
        <v>0.41452075471698113</v>
      </c>
    </row>
    <row r="11" spans="1:35" s="144" customFormat="1" x14ac:dyDescent="0.2">
      <c r="A11" s="211" t="s">
        <v>38</v>
      </c>
      <c r="B11" s="141"/>
      <c r="C11" s="141">
        <f>C9/B9-1</f>
        <v>0.55555555555555558</v>
      </c>
      <c r="D11" s="141">
        <f>D9/C9-1</f>
        <v>2.0714285714285716</v>
      </c>
      <c r="E11" s="141">
        <f>E9/D9-1</f>
        <v>0.48837209302325579</v>
      </c>
      <c r="F11" s="212"/>
      <c r="G11" s="141">
        <f>G9/E9-1</f>
        <v>-0.69374999999999998</v>
      </c>
      <c r="H11" s="141">
        <f>H9/G9-1</f>
        <v>0.55102040816326525</v>
      </c>
      <c r="I11" s="141">
        <f>I9/H9-1</f>
        <v>2.0921052631578947</v>
      </c>
      <c r="J11" s="141">
        <f>J9/I9-1</f>
        <v>0.4893617021276595</v>
      </c>
      <c r="K11" s="212"/>
      <c r="L11" s="141">
        <f>L9/J9-1</f>
        <v>-0.70814285714285707</v>
      </c>
      <c r="M11" s="141">
        <f>M9/L9-1</f>
        <v>0.54772393538913344</v>
      </c>
      <c r="N11" s="141">
        <f>N9/M9-1</f>
        <v>2.107210626185958</v>
      </c>
      <c r="O11" s="141">
        <f>O9/N9-1</f>
        <v>0.49007633587786259</v>
      </c>
      <c r="P11" s="212"/>
      <c r="Q11" s="141">
        <f>Q9/O9-1</f>
        <v>-0.72223360655737701</v>
      </c>
      <c r="R11" s="141">
        <f>R9/Q9-1</f>
        <v>0.54555514570269259</v>
      </c>
      <c r="S11" s="141">
        <f>S9/R9-1</f>
        <v>2.117183770883055</v>
      </c>
      <c r="T11" s="141">
        <f>T9/S9-1</f>
        <v>0.49054436873133733</v>
      </c>
      <c r="U11" s="212"/>
      <c r="V11" s="141">
        <f>V9/T9-1</f>
        <v>-0.73605146907746044</v>
      </c>
      <c r="W11" s="141">
        <f>W9/V9-1</f>
        <v>0.54446293215011998</v>
      </c>
      <c r="X11" s="141">
        <f>X9/W9-1</f>
        <v>2.1222169020828345</v>
      </c>
      <c r="Y11" s="141">
        <f>Y9/X9-1</f>
        <v>0.49077943488095688</v>
      </c>
      <c r="Z11" s="212"/>
      <c r="AA11" s="141">
        <f>AA9/Y9-1</f>
        <v>-0.74960909371463824</v>
      </c>
      <c r="AB11" s="141">
        <f>AB9/AA9-1</f>
        <v>0.54446293215011954</v>
      </c>
      <c r="AC11" s="141">
        <f>AC9/AB9-1</f>
        <v>2.122216902082835</v>
      </c>
      <c r="AD11" s="141">
        <f>AD9/AC9-1</f>
        <v>0.49077943488095643</v>
      </c>
      <c r="AE11" s="213"/>
      <c r="AF11" s="213"/>
      <c r="AG11" s="213"/>
      <c r="AH11" s="213"/>
      <c r="AI11" s="213"/>
    </row>
    <row r="12" spans="1:35" x14ac:dyDescent="0.2">
      <c r="A12" s="214"/>
      <c r="B12" s="140"/>
      <c r="C12" s="140"/>
      <c r="D12" s="140"/>
      <c r="E12" s="140"/>
      <c r="F12" s="215"/>
      <c r="G12" s="140"/>
      <c r="H12" s="140"/>
      <c r="I12" s="140"/>
      <c r="J12" s="140"/>
      <c r="K12" s="215"/>
      <c r="L12" s="140"/>
      <c r="M12" s="140"/>
      <c r="N12" s="139"/>
      <c r="O12" s="140"/>
      <c r="P12" s="215"/>
      <c r="Q12" s="139"/>
      <c r="R12" s="140"/>
      <c r="S12" s="139"/>
      <c r="T12" s="139"/>
      <c r="U12" s="215"/>
      <c r="V12" s="139"/>
      <c r="W12" s="140"/>
      <c r="X12" s="139"/>
      <c r="Y12" s="139"/>
      <c r="Z12" s="216"/>
      <c r="AA12" s="139"/>
      <c r="AB12" s="139"/>
      <c r="AC12" s="139"/>
      <c r="AD12" s="139"/>
      <c r="AE12" s="217"/>
      <c r="AF12" s="217"/>
      <c r="AG12" s="217"/>
      <c r="AH12" s="217"/>
      <c r="AI12" s="217"/>
    </row>
    <row r="13" spans="1:35" s="224" customFormat="1" x14ac:dyDescent="0.2">
      <c r="A13" s="218" t="s">
        <v>64</v>
      </c>
      <c r="B13" s="219">
        <v>4</v>
      </c>
      <c r="C13" s="219">
        <v>6</v>
      </c>
      <c r="D13" s="219">
        <v>20</v>
      </c>
      <c r="E13" s="219">
        <v>30</v>
      </c>
      <c r="F13" s="220">
        <f>SUM(B13:E13)</f>
        <v>60</v>
      </c>
      <c r="G13" s="219">
        <v>8.8000000000000007</v>
      </c>
      <c r="H13" s="219">
        <v>13.200000000000001</v>
      </c>
      <c r="I13" s="219">
        <v>44</v>
      </c>
      <c r="J13" s="219">
        <v>66</v>
      </c>
      <c r="K13" s="220">
        <f>SUM(G13:J13)</f>
        <v>132</v>
      </c>
      <c r="L13" s="219">
        <v>18.480000000000004</v>
      </c>
      <c r="M13" s="219">
        <v>27.720000000000002</v>
      </c>
      <c r="N13" s="219">
        <v>92.4</v>
      </c>
      <c r="O13" s="219">
        <v>138.6</v>
      </c>
      <c r="P13" s="220">
        <f>SUM(L13:O13)</f>
        <v>277.20000000000005</v>
      </c>
      <c r="Q13" s="221">
        <v>36.960000000000008</v>
      </c>
      <c r="R13" s="221">
        <v>55.440000000000005</v>
      </c>
      <c r="S13" s="219">
        <f>N13*2</f>
        <v>184.8</v>
      </c>
      <c r="T13" s="221">
        <v>277.2</v>
      </c>
      <c r="U13" s="220">
        <f>SUM(Q13:T13)</f>
        <v>554.40000000000009</v>
      </c>
      <c r="V13" s="221">
        <v>70.224000000000018</v>
      </c>
      <c r="W13" s="221">
        <v>105.336</v>
      </c>
      <c r="X13" s="219">
        <f>S13*1.9</f>
        <v>351.12</v>
      </c>
      <c r="Y13" s="221">
        <v>526.67999999999995</v>
      </c>
      <c r="Z13" s="222">
        <f>SUM(V13:Y13)</f>
        <v>1053.3600000000001</v>
      </c>
      <c r="AA13" s="196">
        <f>V13*(1+AA14)</f>
        <v>126.40320000000004</v>
      </c>
      <c r="AB13" s="197">
        <f>W13*(1+AB14)</f>
        <v>189.60480000000001</v>
      </c>
      <c r="AC13" s="197">
        <f>X13*(1+AC14)</f>
        <v>632.01600000000008</v>
      </c>
      <c r="AD13" s="198">
        <f>Y13*(1+AD14)</f>
        <v>948.02399999999989</v>
      </c>
      <c r="AE13" s="223">
        <f>SUM(AA13:AD13)</f>
        <v>1896.048</v>
      </c>
      <c r="AF13" s="223">
        <f>IF(AF14="",0,AE13*(1+AF14))</f>
        <v>3223.2815999999998</v>
      </c>
      <c r="AG13" s="223">
        <f>IF(AG14="",0,AF13*(1+AG14))</f>
        <v>5157.2505600000004</v>
      </c>
      <c r="AH13" s="223">
        <f>IF(AH14="",0,AG13*(1+AH14))</f>
        <v>7735.8758400000006</v>
      </c>
      <c r="AI13" s="223">
        <f>IF(AI14="",0,AH13*(1+AI14))</f>
        <v>10830.226176</v>
      </c>
    </row>
    <row r="14" spans="1:35" s="144" customFormat="1" x14ac:dyDescent="0.2">
      <c r="A14" s="211" t="s">
        <v>37</v>
      </c>
      <c r="B14" s="141"/>
      <c r="C14" s="141"/>
      <c r="D14" s="141"/>
      <c r="E14" s="141"/>
      <c r="F14" s="138"/>
      <c r="G14" s="141">
        <f t="shared" ref="G14:Z14" si="2">G13/B13-1</f>
        <v>1.2000000000000002</v>
      </c>
      <c r="H14" s="141">
        <f t="shared" si="2"/>
        <v>1.2000000000000002</v>
      </c>
      <c r="I14" s="141">
        <f t="shared" si="2"/>
        <v>1.2000000000000002</v>
      </c>
      <c r="J14" s="141">
        <f t="shared" si="2"/>
        <v>1.2000000000000002</v>
      </c>
      <c r="K14" s="138">
        <f t="shared" si="2"/>
        <v>1.2000000000000002</v>
      </c>
      <c r="L14" s="141">
        <f t="shared" si="2"/>
        <v>1.1000000000000001</v>
      </c>
      <c r="M14" s="141">
        <f t="shared" si="2"/>
        <v>1.1000000000000001</v>
      </c>
      <c r="N14" s="141">
        <f t="shared" si="2"/>
        <v>1.1000000000000001</v>
      </c>
      <c r="O14" s="141">
        <f t="shared" si="2"/>
        <v>1.1000000000000001</v>
      </c>
      <c r="P14" s="138">
        <f t="shared" si="2"/>
        <v>1.1000000000000005</v>
      </c>
      <c r="Q14" s="141">
        <f t="shared" si="2"/>
        <v>1</v>
      </c>
      <c r="R14" s="141">
        <f t="shared" si="2"/>
        <v>1</v>
      </c>
      <c r="S14" s="141">
        <f t="shared" si="2"/>
        <v>1</v>
      </c>
      <c r="T14" s="141">
        <f t="shared" si="2"/>
        <v>1</v>
      </c>
      <c r="U14" s="138">
        <f t="shared" si="2"/>
        <v>1</v>
      </c>
      <c r="V14" s="141">
        <f t="shared" si="2"/>
        <v>0.90000000000000013</v>
      </c>
      <c r="W14" s="141">
        <f t="shared" si="2"/>
        <v>0.89999999999999991</v>
      </c>
      <c r="X14" s="141">
        <f t="shared" si="2"/>
        <v>0.89999999999999991</v>
      </c>
      <c r="Y14" s="141">
        <f t="shared" si="2"/>
        <v>0.89999999999999991</v>
      </c>
      <c r="Z14" s="138">
        <f t="shared" si="2"/>
        <v>0.89999999999999991</v>
      </c>
      <c r="AA14" s="192">
        <v>0.8</v>
      </c>
      <c r="AB14" s="193">
        <v>0.8</v>
      </c>
      <c r="AC14" s="193">
        <v>0.8</v>
      </c>
      <c r="AD14" s="194">
        <v>0.8</v>
      </c>
      <c r="AE14" s="138">
        <f>AE13/Z13-1</f>
        <v>0.79999999999999982</v>
      </c>
      <c r="AF14" s="195">
        <v>0.7</v>
      </c>
      <c r="AG14" s="195">
        <v>0.6</v>
      </c>
      <c r="AH14" s="195">
        <v>0.5</v>
      </c>
      <c r="AI14" s="195">
        <v>0.4</v>
      </c>
    </row>
    <row r="15" spans="1:35" s="144" customFormat="1" x14ac:dyDescent="0.2">
      <c r="A15" s="211" t="s">
        <v>38</v>
      </c>
      <c r="B15" s="141"/>
      <c r="C15" s="141">
        <f>C13/B13-1</f>
        <v>0.5</v>
      </c>
      <c r="D15" s="141">
        <f>D13/C13-1</f>
        <v>2.3333333333333335</v>
      </c>
      <c r="E15" s="141">
        <f>E13/D13-1</f>
        <v>0.5</v>
      </c>
      <c r="F15" s="212"/>
      <c r="G15" s="141">
        <f>G13/E13-1</f>
        <v>-0.70666666666666667</v>
      </c>
      <c r="H15" s="141">
        <f>H13/G13-1</f>
        <v>0.5</v>
      </c>
      <c r="I15" s="141">
        <f>I13/H13-1</f>
        <v>2.333333333333333</v>
      </c>
      <c r="J15" s="141">
        <f>J13/I13-1</f>
        <v>0.5</v>
      </c>
      <c r="K15" s="212"/>
      <c r="L15" s="141">
        <f>L13/J13-1</f>
        <v>-0.72</v>
      </c>
      <c r="M15" s="141">
        <f>M13/L13-1</f>
        <v>0.49999999999999978</v>
      </c>
      <c r="N15" s="141">
        <f>N13/M13-1</f>
        <v>2.333333333333333</v>
      </c>
      <c r="O15" s="141">
        <f>O13/N13-1</f>
        <v>0.49999999999999978</v>
      </c>
      <c r="P15" s="212"/>
      <c r="Q15" s="141">
        <f>Q13/O13-1</f>
        <v>-0.73333333333333328</v>
      </c>
      <c r="R15" s="141">
        <f>R13/Q13-1</f>
        <v>0.49999999999999978</v>
      </c>
      <c r="S15" s="141">
        <f>S13/R13-1</f>
        <v>2.333333333333333</v>
      </c>
      <c r="T15" s="141">
        <f>T13/S13-1</f>
        <v>0.49999999999999978</v>
      </c>
      <c r="U15" s="212"/>
      <c r="V15" s="141">
        <f>V13/T13-1</f>
        <v>-0.74666666666666659</v>
      </c>
      <c r="W15" s="141">
        <f>W13/V13-1</f>
        <v>0.49999999999999956</v>
      </c>
      <c r="X15" s="141">
        <f>X13/W13-1</f>
        <v>2.3333333333333335</v>
      </c>
      <c r="Y15" s="141">
        <f>Y13/X13-1</f>
        <v>0.49999999999999978</v>
      </c>
      <c r="Z15" s="212"/>
      <c r="AA15" s="141">
        <f>AA13/Y13-1</f>
        <v>-0.7599999999999999</v>
      </c>
      <c r="AB15" s="141">
        <f>AB13/AA13-1</f>
        <v>0.49999999999999956</v>
      </c>
      <c r="AC15" s="141">
        <f>AC13/AB13-1</f>
        <v>2.3333333333333335</v>
      </c>
      <c r="AD15" s="141">
        <f>AD13/AC13-1</f>
        <v>0.49999999999999956</v>
      </c>
      <c r="AE15" s="212"/>
      <c r="AF15" s="213"/>
      <c r="AG15" s="213"/>
      <c r="AH15" s="213"/>
      <c r="AI15" s="213"/>
    </row>
    <row r="16" spans="1:35" s="144" customFormat="1" x14ac:dyDescent="0.2">
      <c r="A16" s="211" t="s">
        <v>59</v>
      </c>
      <c r="B16" s="141">
        <f t="shared" ref="B16:AI16" si="3">B13/B9</f>
        <v>0.88888888888888884</v>
      </c>
      <c r="C16" s="141">
        <f t="shared" si="3"/>
        <v>0.8571428571428571</v>
      </c>
      <c r="D16" s="141">
        <f t="shared" si="3"/>
        <v>0.93023255813953487</v>
      </c>
      <c r="E16" s="141">
        <f t="shared" si="3"/>
        <v>0.9375</v>
      </c>
      <c r="F16" s="138">
        <f t="shared" si="3"/>
        <v>0.92307692307692313</v>
      </c>
      <c r="G16" s="141">
        <f t="shared" si="3"/>
        <v>0.89795918367346939</v>
      </c>
      <c r="H16" s="141">
        <f t="shared" si="3"/>
        <v>0.86842105263157898</v>
      </c>
      <c r="I16" s="141">
        <f t="shared" si="3"/>
        <v>0.93617021276595747</v>
      </c>
      <c r="J16" s="141">
        <f t="shared" si="3"/>
        <v>0.94285714285714284</v>
      </c>
      <c r="K16" s="138">
        <f t="shared" si="3"/>
        <v>0.92957746478873238</v>
      </c>
      <c r="L16" s="141">
        <f t="shared" si="3"/>
        <v>0.90455212922173278</v>
      </c>
      <c r="M16" s="141">
        <f t="shared" si="3"/>
        <v>0.87666034155597727</v>
      </c>
      <c r="N16" s="141">
        <f t="shared" si="3"/>
        <v>0.94045801526717565</v>
      </c>
      <c r="O16" s="141">
        <f t="shared" si="3"/>
        <v>0.94672131147540972</v>
      </c>
      <c r="P16" s="138">
        <f t="shared" si="3"/>
        <v>0.93427704752275031</v>
      </c>
      <c r="Q16" s="141">
        <f t="shared" si="3"/>
        <v>0.9088897085946146</v>
      </c>
      <c r="R16" s="141">
        <f t="shared" si="3"/>
        <v>0.88210023866348453</v>
      </c>
      <c r="S16" s="141">
        <f t="shared" si="3"/>
        <v>0.94326621238802533</v>
      </c>
      <c r="T16" s="141">
        <f t="shared" si="3"/>
        <v>0.94925005136634477</v>
      </c>
      <c r="U16" s="138">
        <f t="shared" si="3"/>
        <v>0.93735734212528543</v>
      </c>
      <c r="V16" s="141">
        <f t="shared" si="3"/>
        <v>0.91107413569975981</v>
      </c>
      <c r="W16" s="141">
        <f t="shared" si="3"/>
        <v>0.8848455829542734</v>
      </c>
      <c r="X16" s="141">
        <f t="shared" si="3"/>
        <v>0.94467660928574171</v>
      </c>
      <c r="Y16" s="141">
        <f t="shared" si="3"/>
        <v>0.95051949387923051</v>
      </c>
      <c r="Z16" s="138">
        <f t="shared" si="3"/>
        <v>0.93890511876032012</v>
      </c>
      <c r="AA16" s="141">
        <f t="shared" si="3"/>
        <v>0.91107413569975959</v>
      </c>
      <c r="AB16" s="141">
        <f t="shared" si="3"/>
        <v>0.8848455829542734</v>
      </c>
      <c r="AC16" s="141">
        <f t="shared" si="3"/>
        <v>0.9446766092857416</v>
      </c>
      <c r="AD16" s="141">
        <f t="shared" si="3"/>
        <v>0.95051949387923051</v>
      </c>
      <c r="AE16" s="138">
        <f t="shared" si="3"/>
        <v>0.93890511876032001</v>
      </c>
      <c r="AF16" s="138">
        <f t="shared" si="3"/>
        <v>0.93722101855960738</v>
      </c>
      <c r="AG16" s="138">
        <f t="shared" si="3"/>
        <v>0.93355802967096724</v>
      </c>
      <c r="AH16" s="138">
        <f t="shared" si="3"/>
        <v>0.92739622641509434</v>
      </c>
      <c r="AI16" s="138">
        <f t="shared" si="3"/>
        <v>0.9178760457572136</v>
      </c>
    </row>
    <row r="17" spans="1:35" x14ac:dyDescent="0.2">
      <c r="A17" s="225"/>
      <c r="B17" s="226"/>
      <c r="C17" s="226"/>
      <c r="D17" s="226"/>
      <c r="E17" s="226"/>
      <c r="F17" s="215"/>
      <c r="G17" s="226"/>
      <c r="H17" s="226"/>
      <c r="I17" s="226"/>
      <c r="J17" s="226"/>
      <c r="K17" s="215"/>
      <c r="L17" s="142"/>
      <c r="M17" s="142"/>
      <c r="N17" s="142"/>
      <c r="O17" s="142"/>
      <c r="P17" s="215"/>
      <c r="Q17" s="142"/>
      <c r="R17" s="142"/>
      <c r="S17" s="142"/>
      <c r="T17" s="142"/>
      <c r="U17" s="215"/>
      <c r="V17" s="142"/>
      <c r="W17" s="142"/>
      <c r="X17" s="142"/>
      <c r="Y17" s="142"/>
      <c r="Z17" s="215"/>
      <c r="AA17" s="143"/>
      <c r="AB17" s="143"/>
      <c r="AC17" s="143"/>
      <c r="AD17" s="143"/>
      <c r="AE17" s="227"/>
      <c r="AF17" s="227"/>
      <c r="AG17" s="227"/>
      <c r="AH17" s="227"/>
      <c r="AI17" s="227"/>
    </row>
    <row r="18" spans="1:35" s="186" customFormat="1" x14ac:dyDescent="0.2">
      <c r="A18" s="228" t="s">
        <v>65</v>
      </c>
      <c r="B18" s="155">
        <v>0.5</v>
      </c>
      <c r="C18" s="155">
        <v>1</v>
      </c>
      <c r="D18" s="155">
        <v>1.5</v>
      </c>
      <c r="E18" s="155">
        <v>2</v>
      </c>
      <c r="F18" s="220">
        <f>SUM(B18:E18)</f>
        <v>5</v>
      </c>
      <c r="G18" s="155">
        <v>1</v>
      </c>
      <c r="H18" s="155">
        <v>2</v>
      </c>
      <c r="I18" s="155">
        <v>3</v>
      </c>
      <c r="J18" s="155">
        <v>4</v>
      </c>
      <c r="K18" s="220">
        <f>SUM(G18:J18)</f>
        <v>10</v>
      </c>
      <c r="L18" s="155">
        <v>1.95</v>
      </c>
      <c r="M18" s="155">
        <v>3.9</v>
      </c>
      <c r="N18" s="155">
        <v>5.85</v>
      </c>
      <c r="O18" s="155">
        <v>7.8</v>
      </c>
      <c r="P18" s="220">
        <f>SUM(L18:O18)</f>
        <v>19.5</v>
      </c>
      <c r="Q18" s="155">
        <v>3.7049999999999996</v>
      </c>
      <c r="R18" s="155">
        <v>7.4099999999999993</v>
      </c>
      <c r="S18" s="155">
        <v>11.114999999999998</v>
      </c>
      <c r="T18" s="155">
        <v>14.819999999999999</v>
      </c>
      <c r="U18" s="220">
        <f>SUM(Q18:T18)</f>
        <v>37.049999999999997</v>
      </c>
      <c r="V18" s="155">
        <v>6.8542499999999995</v>
      </c>
      <c r="W18" s="155">
        <v>13.708499999999999</v>
      </c>
      <c r="X18" s="155">
        <v>20.562749999999998</v>
      </c>
      <c r="Y18" s="155">
        <v>27.416999999999998</v>
      </c>
      <c r="Z18" s="220">
        <f>SUM(V18:Y18)</f>
        <v>68.54249999999999</v>
      </c>
      <c r="AA18" s="196">
        <f>IF(AA19="",0,V18*(1+AA19))</f>
        <v>12.33765</v>
      </c>
      <c r="AB18" s="197">
        <f>IF(AB19="",0,W18*(1+AB19))</f>
        <v>24.6753</v>
      </c>
      <c r="AC18" s="197">
        <f>IF(AC19="",0,X18*(1+AC19))</f>
        <v>37.012949999999996</v>
      </c>
      <c r="AD18" s="198">
        <f>IF(AD19="",0,Y18*(1+AD19))</f>
        <v>49.3506</v>
      </c>
      <c r="AE18" s="223">
        <f>SUM(AA18:AD18)</f>
        <v>123.37650000000001</v>
      </c>
      <c r="AF18" s="223">
        <f>IF(AF19="",0,AE18*(1+AF19))</f>
        <v>215.90887500000002</v>
      </c>
      <c r="AG18" s="223">
        <f>IF(AG19="",0,AF18*(1+AG19))</f>
        <v>367.04508750000002</v>
      </c>
      <c r="AH18" s="223">
        <f>IF(AH19="",0,AG18*(1+AH19))</f>
        <v>605.62439437499995</v>
      </c>
      <c r="AI18" s="223">
        <f>IF(AI19="",0,AH18*(1+AI19))</f>
        <v>968.99903099999995</v>
      </c>
    </row>
    <row r="19" spans="1:35" s="144" customFormat="1" x14ac:dyDescent="0.2">
      <c r="A19" s="211" t="s">
        <v>37</v>
      </c>
      <c r="B19" s="141"/>
      <c r="C19" s="141"/>
      <c r="D19" s="141"/>
      <c r="E19" s="141"/>
      <c r="F19" s="138"/>
      <c r="G19" s="141">
        <f t="shared" ref="G19:Z19" si="4">G18/B18-1</f>
        <v>1</v>
      </c>
      <c r="H19" s="141">
        <f t="shared" si="4"/>
        <v>1</v>
      </c>
      <c r="I19" s="141">
        <f t="shared" si="4"/>
        <v>1</v>
      </c>
      <c r="J19" s="141">
        <f t="shared" si="4"/>
        <v>1</v>
      </c>
      <c r="K19" s="138">
        <f t="shared" si="4"/>
        <v>1</v>
      </c>
      <c r="L19" s="141">
        <f t="shared" si="4"/>
        <v>0.95</v>
      </c>
      <c r="M19" s="141">
        <f t="shared" si="4"/>
        <v>0.95</v>
      </c>
      <c r="N19" s="141">
        <f t="shared" si="4"/>
        <v>0.95</v>
      </c>
      <c r="O19" s="141">
        <f t="shared" si="4"/>
        <v>0.95</v>
      </c>
      <c r="P19" s="138">
        <f t="shared" si="4"/>
        <v>0.95</v>
      </c>
      <c r="Q19" s="141">
        <f t="shared" si="4"/>
        <v>0.89999999999999991</v>
      </c>
      <c r="R19" s="141">
        <f t="shared" si="4"/>
        <v>0.89999999999999991</v>
      </c>
      <c r="S19" s="141">
        <f t="shared" si="4"/>
        <v>0.89999999999999991</v>
      </c>
      <c r="T19" s="141">
        <f t="shared" si="4"/>
        <v>0.89999999999999991</v>
      </c>
      <c r="U19" s="138">
        <f t="shared" si="4"/>
        <v>0.89999999999999991</v>
      </c>
      <c r="V19" s="141">
        <f t="shared" si="4"/>
        <v>0.85000000000000009</v>
      </c>
      <c r="W19" s="141">
        <f t="shared" si="4"/>
        <v>0.85000000000000009</v>
      </c>
      <c r="X19" s="141">
        <f>X18/S18-1</f>
        <v>0.85000000000000009</v>
      </c>
      <c r="Y19" s="141">
        <f t="shared" si="4"/>
        <v>0.85000000000000009</v>
      </c>
      <c r="Z19" s="138">
        <f t="shared" si="4"/>
        <v>0.84999999999999987</v>
      </c>
      <c r="AA19" s="192">
        <v>0.8</v>
      </c>
      <c r="AB19" s="193">
        <v>0.8</v>
      </c>
      <c r="AC19" s="193">
        <v>0.8</v>
      </c>
      <c r="AD19" s="194">
        <v>0.8</v>
      </c>
      <c r="AE19" s="138">
        <f>AE18/Z18-1</f>
        <v>0.80000000000000027</v>
      </c>
      <c r="AF19" s="195">
        <v>0.75</v>
      </c>
      <c r="AG19" s="195">
        <v>0.7</v>
      </c>
      <c r="AH19" s="195">
        <v>0.65</v>
      </c>
      <c r="AI19" s="195">
        <v>0.6</v>
      </c>
    </row>
    <row r="20" spans="1:35" s="144" customFormat="1" x14ac:dyDescent="0.2">
      <c r="A20" s="211" t="s">
        <v>38</v>
      </c>
      <c r="B20" s="141"/>
      <c r="C20" s="141">
        <f>C18/B18-1</f>
        <v>1</v>
      </c>
      <c r="D20" s="141">
        <f>D18/C18-1</f>
        <v>0.5</v>
      </c>
      <c r="E20" s="141">
        <f>E18/D18-1</f>
        <v>0.33333333333333326</v>
      </c>
      <c r="F20" s="212"/>
      <c r="G20" s="141">
        <f>G18/E18-1</f>
        <v>-0.5</v>
      </c>
      <c r="H20" s="141">
        <f>H18/G18-1</f>
        <v>1</v>
      </c>
      <c r="I20" s="141">
        <f>I18/H18-1</f>
        <v>0.5</v>
      </c>
      <c r="J20" s="141">
        <f>J18/I18-1</f>
        <v>0.33333333333333326</v>
      </c>
      <c r="K20" s="212"/>
      <c r="L20" s="141">
        <f>L18/J18-1</f>
        <v>-0.51249999999999996</v>
      </c>
      <c r="M20" s="141">
        <f>M18/L18-1</f>
        <v>1</v>
      </c>
      <c r="N20" s="141">
        <f>N18/M18-1</f>
        <v>0.5</v>
      </c>
      <c r="O20" s="141">
        <f>O18/N18-1</f>
        <v>0.33333333333333348</v>
      </c>
      <c r="P20" s="212"/>
      <c r="Q20" s="141">
        <f>Q18/O18-1</f>
        <v>-0.52500000000000002</v>
      </c>
      <c r="R20" s="141">
        <f>R18/Q18-1</f>
        <v>1</v>
      </c>
      <c r="S20" s="141">
        <f>S18/R18-1</f>
        <v>0.5</v>
      </c>
      <c r="T20" s="141">
        <f>T18/S18-1</f>
        <v>0.33333333333333348</v>
      </c>
      <c r="U20" s="212"/>
      <c r="V20" s="141">
        <f>V18/T18-1</f>
        <v>-0.53749999999999998</v>
      </c>
      <c r="W20" s="141">
        <f>W18/V18-1</f>
        <v>1</v>
      </c>
      <c r="X20" s="141">
        <f>X18/W18-1</f>
        <v>0.5</v>
      </c>
      <c r="Y20" s="141">
        <f>Y18/X18-1</f>
        <v>0.33333333333333348</v>
      </c>
      <c r="Z20" s="212"/>
      <c r="AA20" s="141">
        <f>AA18/Y18-1</f>
        <v>-0.55000000000000004</v>
      </c>
      <c r="AB20" s="141">
        <f>AB18/AA18-1</f>
        <v>1</v>
      </c>
      <c r="AC20" s="141">
        <f>AC18/AB18-1</f>
        <v>0.49999999999999978</v>
      </c>
      <c r="AD20" s="141">
        <f>AD18/AC18-1</f>
        <v>0.33333333333333348</v>
      </c>
      <c r="AE20" s="212"/>
      <c r="AF20" s="213"/>
      <c r="AG20" s="213"/>
      <c r="AH20" s="213"/>
      <c r="AI20" s="213"/>
    </row>
    <row r="21" spans="1:35" s="144" customFormat="1" x14ac:dyDescent="0.2">
      <c r="A21" s="211" t="s">
        <v>59</v>
      </c>
      <c r="B21" s="141">
        <f t="shared" ref="B21:AI21" si="5">B18/B9</f>
        <v>0.1111111111111111</v>
      </c>
      <c r="C21" s="141">
        <f t="shared" si="5"/>
        <v>0.14285714285714285</v>
      </c>
      <c r="D21" s="141">
        <f t="shared" si="5"/>
        <v>6.9767441860465115E-2</v>
      </c>
      <c r="E21" s="141">
        <f t="shared" si="5"/>
        <v>6.25E-2</v>
      </c>
      <c r="F21" s="138">
        <f t="shared" si="5"/>
        <v>7.6923076923076927E-2</v>
      </c>
      <c r="G21" s="141">
        <f t="shared" si="5"/>
        <v>0.1020408163265306</v>
      </c>
      <c r="H21" s="141">
        <f t="shared" si="5"/>
        <v>0.13157894736842105</v>
      </c>
      <c r="I21" s="141">
        <f t="shared" si="5"/>
        <v>6.3829787234042548E-2</v>
      </c>
      <c r="J21" s="141">
        <f t="shared" si="5"/>
        <v>5.7142857142857141E-2</v>
      </c>
      <c r="K21" s="138">
        <f t="shared" si="5"/>
        <v>7.0422535211267609E-2</v>
      </c>
      <c r="L21" s="141">
        <f t="shared" si="5"/>
        <v>9.5447870778267233E-2</v>
      </c>
      <c r="M21" s="141">
        <f t="shared" si="5"/>
        <v>0.12333965844402277</v>
      </c>
      <c r="N21" s="141">
        <f t="shared" si="5"/>
        <v>5.9541984732824425E-2</v>
      </c>
      <c r="O21" s="141">
        <f t="shared" si="5"/>
        <v>5.3278688524590161E-2</v>
      </c>
      <c r="P21" s="138">
        <f t="shared" si="5"/>
        <v>6.5722952477249741E-2</v>
      </c>
      <c r="Q21" s="141">
        <f t="shared" si="5"/>
        <v>9.1110291405385443E-2</v>
      </c>
      <c r="R21" s="141">
        <f t="shared" si="5"/>
        <v>0.1178997613365155</v>
      </c>
      <c r="S21" s="141">
        <f t="shared" si="5"/>
        <v>5.6733787611974569E-2</v>
      </c>
      <c r="T21" s="141">
        <f t="shared" si="5"/>
        <v>5.0749948633655229E-2</v>
      </c>
      <c r="U21" s="138">
        <f t="shared" si="5"/>
        <v>6.264265787471468E-2</v>
      </c>
      <c r="V21" s="141">
        <f t="shared" si="5"/>
        <v>8.8925864300240326E-2</v>
      </c>
      <c r="W21" s="141">
        <f t="shared" si="5"/>
        <v>0.11515441704572658</v>
      </c>
      <c r="X21" s="141">
        <f t="shared" si="5"/>
        <v>5.5323390714258326E-2</v>
      </c>
      <c r="Y21" s="141">
        <f t="shared" si="5"/>
        <v>4.9480506120769464E-2</v>
      </c>
      <c r="Z21" s="138">
        <f t="shared" si="5"/>
        <v>6.1094881239679905E-2</v>
      </c>
      <c r="AA21" s="141">
        <f t="shared" si="5"/>
        <v>8.8925864300240312E-2</v>
      </c>
      <c r="AB21" s="141">
        <f t="shared" si="5"/>
        <v>0.1151544170457266</v>
      </c>
      <c r="AC21" s="141">
        <f t="shared" si="5"/>
        <v>5.5323390714258312E-2</v>
      </c>
      <c r="AD21" s="141">
        <f t="shared" si="5"/>
        <v>4.9480506120769471E-2</v>
      </c>
      <c r="AE21" s="138">
        <f t="shared" si="5"/>
        <v>6.1094881239679918E-2</v>
      </c>
      <c r="AF21" s="138">
        <f t="shared" si="5"/>
        <v>6.2778981440392609E-2</v>
      </c>
      <c r="AG21" s="138">
        <f t="shared" si="5"/>
        <v>6.644197032903279E-2</v>
      </c>
      <c r="AH21" s="138">
        <f t="shared" si="5"/>
        <v>7.2603773584905648E-2</v>
      </c>
      <c r="AI21" s="138">
        <f t="shared" si="5"/>
        <v>8.2123954242786415E-2</v>
      </c>
    </row>
    <row r="22" spans="1:35" ht="15" thickBot="1" x14ac:dyDescent="0.25">
      <c r="A22" s="229"/>
      <c r="B22" s="230"/>
      <c r="C22" s="230"/>
      <c r="D22" s="230"/>
      <c r="E22" s="230"/>
      <c r="F22" s="231"/>
      <c r="G22" s="230"/>
      <c r="H22" s="230"/>
      <c r="I22" s="230"/>
      <c r="J22" s="230"/>
      <c r="K22" s="231"/>
      <c r="L22" s="230"/>
      <c r="M22" s="230"/>
      <c r="N22" s="230"/>
      <c r="O22" s="230"/>
      <c r="P22" s="231"/>
      <c r="Q22" s="230"/>
      <c r="R22" s="230"/>
      <c r="S22" s="230"/>
      <c r="T22" s="230"/>
      <c r="U22" s="231"/>
      <c r="V22" s="230"/>
      <c r="W22" s="230"/>
      <c r="X22" s="230"/>
      <c r="Y22" s="230"/>
      <c r="Z22" s="231"/>
      <c r="AA22" s="230"/>
      <c r="AB22" s="230"/>
      <c r="AC22" s="230"/>
      <c r="AD22" s="230"/>
      <c r="AE22" s="231"/>
      <c r="AF22" s="231"/>
      <c r="AG22" s="231"/>
      <c r="AH22" s="231"/>
      <c r="AI22" s="231"/>
    </row>
    <row r="23" spans="1:35" x14ac:dyDescent="0.2">
      <c r="A23" s="232"/>
      <c r="B23" s="140"/>
      <c r="C23" s="140"/>
      <c r="D23" s="140"/>
      <c r="E23" s="233"/>
      <c r="F23" s="234"/>
      <c r="G23" s="140"/>
      <c r="H23" s="140"/>
      <c r="I23" s="140"/>
      <c r="J23" s="235"/>
      <c r="K23" s="234"/>
      <c r="L23" s="140"/>
      <c r="M23" s="140"/>
      <c r="N23" s="140"/>
      <c r="O23" s="235"/>
      <c r="P23" s="234"/>
      <c r="Q23" s="140"/>
      <c r="R23" s="140"/>
      <c r="S23" s="140"/>
      <c r="T23" s="140"/>
      <c r="U23" s="234"/>
      <c r="V23" s="140"/>
      <c r="W23" s="140"/>
      <c r="X23" s="140"/>
      <c r="Y23" s="140"/>
      <c r="Z23" s="234"/>
      <c r="AA23" s="140"/>
      <c r="AB23" s="140"/>
      <c r="AC23" s="140"/>
      <c r="AD23" s="140"/>
      <c r="AE23" s="234"/>
      <c r="AF23" s="234"/>
      <c r="AG23" s="234"/>
      <c r="AH23" s="234"/>
      <c r="AI23" s="234"/>
    </row>
  </sheetData>
  <mergeCells count="1">
    <mergeCell ref="A2:B2"/>
  </mergeCells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L161"/>
  <sheetViews>
    <sheetView showGridLines="0" zoomScale="144" workbookViewId="0">
      <pane xSplit="2" ySplit="7" topLeftCell="AF8" activePane="bottomRight" state="frozen"/>
      <selection pane="topRight" activeCell="C1" sqref="C1"/>
      <selection pane="bottomLeft" activeCell="A8" sqref="A8"/>
      <selection pane="bottomRight" activeCell="AF29" sqref="AF29"/>
    </sheetView>
  </sheetViews>
  <sheetFormatPr baseColWidth="10" defaultColWidth="9.1640625" defaultRowHeight="14" outlineLevelCol="1" x14ac:dyDescent="0.2"/>
  <cols>
    <col min="1" max="1" width="3.83203125" style="128" customWidth="1"/>
    <col min="2" max="2" width="39.6640625" style="128" customWidth="1"/>
    <col min="3" max="6" width="9.1640625" style="128" customWidth="1" outlineLevel="1"/>
    <col min="7" max="7" width="9.1640625" style="128" customWidth="1"/>
    <col min="8" max="11" width="9.1640625" style="128" customWidth="1" outlineLevel="1"/>
    <col min="12" max="12" width="9.1640625" style="128" customWidth="1"/>
    <col min="13" max="16" width="9.1640625" style="128" customWidth="1" outlineLevel="1"/>
    <col min="17" max="17" width="9.1640625" style="128" customWidth="1"/>
    <col min="18" max="21" width="9.1640625" style="128" customWidth="1" outlineLevel="1"/>
    <col min="22" max="22" width="9.1640625" style="128" customWidth="1"/>
    <col min="23" max="26" width="9.1640625" style="128" customWidth="1" outlineLevel="1"/>
    <col min="27" max="27" width="9.5" style="128" customWidth="1"/>
    <col min="28" max="31" width="9.1640625" style="128" customWidth="1" outlineLevel="1"/>
    <col min="32" max="36" width="9.1640625" style="128" customWidth="1"/>
    <col min="37" max="37" width="9.1640625" style="128"/>
    <col min="38" max="38" width="9.5" style="128" bestFit="1" customWidth="1"/>
    <col min="39" max="16384" width="9.1640625" style="128"/>
  </cols>
  <sheetData>
    <row r="1" spans="1:36" ht="16" x14ac:dyDescent="0.2">
      <c r="A1" s="448" t="s">
        <v>33</v>
      </c>
      <c r="B1" s="448"/>
      <c r="G1" s="169"/>
      <c r="H1" s="170"/>
      <c r="I1" s="170"/>
      <c r="J1" s="170"/>
      <c r="K1" s="170"/>
      <c r="L1" s="170"/>
      <c r="M1" s="170"/>
      <c r="N1" s="170"/>
      <c r="O1" s="170"/>
      <c r="P1" s="170"/>
      <c r="Q1" s="170"/>
      <c r="R1" s="170"/>
      <c r="S1" s="170"/>
      <c r="T1" s="170"/>
      <c r="U1" s="170"/>
      <c r="V1" s="170"/>
      <c r="W1" s="170"/>
      <c r="X1" s="170"/>
      <c r="Y1" s="170"/>
      <c r="Z1" s="170"/>
      <c r="AA1" s="170"/>
      <c r="AB1" s="170"/>
      <c r="AC1" s="170"/>
      <c r="AD1" s="170"/>
      <c r="AE1" s="170"/>
      <c r="AF1" s="170"/>
      <c r="AG1" s="170"/>
      <c r="AH1" s="170"/>
      <c r="AI1" s="170"/>
      <c r="AJ1" s="170"/>
    </row>
    <row r="2" spans="1:36" ht="12.75" customHeight="1" x14ac:dyDescent="0.2">
      <c r="A2" s="448" t="s">
        <v>34</v>
      </c>
      <c r="B2" s="448"/>
      <c r="G2" s="171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Z2" s="172"/>
      <c r="AA2" s="172"/>
      <c r="AB2" s="172"/>
      <c r="AC2" s="172"/>
      <c r="AD2" s="172"/>
      <c r="AE2" s="172"/>
      <c r="AF2" s="172"/>
      <c r="AG2" s="172"/>
      <c r="AH2" s="172"/>
      <c r="AI2" s="172"/>
      <c r="AJ2" s="172"/>
    </row>
    <row r="3" spans="1:36" ht="12.75" customHeight="1" x14ac:dyDescent="0.2">
      <c r="A3" s="449" t="s">
        <v>35</v>
      </c>
      <c r="B3" s="449"/>
      <c r="I3" s="173"/>
      <c r="J3" s="173"/>
      <c r="K3" s="173"/>
      <c r="L3" s="174"/>
      <c r="N3" s="173"/>
      <c r="O3" s="173"/>
      <c r="P3" s="173"/>
      <c r="Q3" s="173"/>
      <c r="R3" s="173"/>
      <c r="S3" s="173"/>
      <c r="T3" s="174"/>
      <c r="U3" s="173"/>
      <c r="V3" s="174"/>
      <c r="W3" s="173"/>
      <c r="X3" s="173"/>
      <c r="Y3" s="175"/>
      <c r="Z3" s="173"/>
      <c r="AA3" s="173"/>
      <c r="AB3" s="173"/>
      <c r="AC3" s="173"/>
      <c r="AD3" s="173"/>
      <c r="AE3" s="173"/>
      <c r="AF3" s="173"/>
      <c r="AG3" s="173"/>
      <c r="AH3" s="173"/>
      <c r="AI3" s="173"/>
      <c r="AJ3" s="173"/>
    </row>
    <row r="4" spans="1:36" ht="12.75" customHeight="1" x14ac:dyDescent="0.2">
      <c r="A4" s="450" t="s">
        <v>36</v>
      </c>
      <c r="B4" s="450"/>
      <c r="I4" s="176"/>
      <c r="K4" s="173"/>
      <c r="L4" s="174"/>
      <c r="N4" s="173"/>
      <c r="O4" s="173"/>
      <c r="P4" s="173"/>
      <c r="Q4" s="174"/>
      <c r="R4" s="173"/>
      <c r="AA4" s="177"/>
      <c r="AB4" s="177"/>
      <c r="AC4" s="177"/>
      <c r="AD4" s="177"/>
      <c r="AE4" s="177"/>
    </row>
    <row r="5" spans="1:36" ht="12.75" customHeight="1" thickBot="1" x14ac:dyDescent="0.25">
      <c r="G5" s="258">
        <f>L$5-1</f>
        <v>-4</v>
      </c>
      <c r="H5" s="259"/>
      <c r="I5" s="260"/>
      <c r="J5" s="260"/>
      <c r="K5" s="260"/>
      <c r="L5" s="258">
        <f>Q$5-1</f>
        <v>-3</v>
      </c>
      <c r="M5" s="261"/>
      <c r="N5" s="260"/>
      <c r="O5" s="260"/>
      <c r="P5" s="260"/>
      <c r="Q5" s="258">
        <f>V$5-1</f>
        <v>-2</v>
      </c>
      <c r="R5" s="205"/>
      <c r="S5" s="205"/>
      <c r="T5" s="205"/>
      <c r="U5" s="205"/>
      <c r="V5" s="258">
        <f>AA$5-1</f>
        <v>-1</v>
      </c>
      <c r="W5" s="262"/>
      <c r="X5" s="262"/>
      <c r="Y5" s="262"/>
      <c r="Z5" s="262"/>
      <c r="AA5" s="258">
        <v>0</v>
      </c>
      <c r="AB5" s="258"/>
      <c r="AC5" s="258"/>
      <c r="AD5" s="258"/>
      <c r="AE5" s="258"/>
      <c r="AF5" s="258">
        <f>AA5+1</f>
        <v>1</v>
      </c>
      <c r="AG5" s="258">
        <f>AF5+1</f>
        <v>2</v>
      </c>
      <c r="AH5" s="258">
        <f>AG5+1</f>
        <v>3</v>
      </c>
      <c r="AI5" s="258">
        <f>AH5+1</f>
        <v>4</v>
      </c>
      <c r="AJ5" s="258">
        <f>AI5+1</f>
        <v>5</v>
      </c>
    </row>
    <row r="6" spans="1:36" s="182" customFormat="1" ht="15" hidden="1" customHeight="1" thickBot="1" x14ac:dyDescent="0.25">
      <c r="A6" s="178"/>
      <c r="B6" s="179"/>
      <c r="C6" s="180">
        <f ca="1">G7</f>
        <v>2021</v>
      </c>
      <c r="D6" s="180"/>
      <c r="E6" s="180"/>
      <c r="F6" s="181"/>
      <c r="G6" s="149" t="s">
        <v>3</v>
      </c>
      <c r="H6" s="180">
        <f ca="1">L7</f>
        <v>2022</v>
      </c>
      <c r="I6" s="180"/>
      <c r="J6" s="180"/>
      <c r="K6" s="181"/>
      <c r="L6" s="149" t="s">
        <v>3</v>
      </c>
      <c r="M6" s="180">
        <f ca="1">Q7</f>
        <v>2023</v>
      </c>
      <c r="N6" s="180"/>
      <c r="O6" s="180"/>
      <c r="P6" s="181"/>
      <c r="Q6" s="149" t="s">
        <v>3</v>
      </c>
      <c r="R6" s="180">
        <f ca="1">V7</f>
        <v>2024</v>
      </c>
      <c r="S6" s="180"/>
      <c r="T6" s="180"/>
      <c r="U6" s="181"/>
      <c r="V6" s="149" t="s">
        <v>3</v>
      </c>
      <c r="W6" s="180">
        <v>2015</v>
      </c>
      <c r="X6" s="180"/>
      <c r="Y6" s="180"/>
      <c r="Z6" s="180"/>
      <c r="AA6" s="149" t="s">
        <v>3</v>
      </c>
      <c r="AB6" s="180">
        <f>W6+1</f>
        <v>2016</v>
      </c>
      <c r="AC6" s="180"/>
      <c r="AD6" s="180"/>
      <c r="AE6" s="180"/>
      <c r="AF6" s="149" t="s">
        <v>4</v>
      </c>
      <c r="AG6" s="149" t="s">
        <v>4</v>
      </c>
      <c r="AH6" s="149" t="s">
        <v>4</v>
      </c>
      <c r="AI6" s="149" t="s">
        <v>4</v>
      </c>
      <c r="AJ6" s="149" t="s">
        <v>4</v>
      </c>
    </row>
    <row r="7" spans="1:36" s="182" customFormat="1" ht="13.5" customHeight="1" thickBot="1" x14ac:dyDescent="0.25">
      <c r="A7" s="75"/>
      <c r="B7" s="76"/>
      <c r="C7" s="77" t="str">
        <f ca="1">"1Q"&amp;RIGHT(G7,2)&amp;"A"</f>
        <v>1Q21A</v>
      </c>
      <c r="D7" s="77" t="str">
        <f ca="1">"2Q"&amp;RIGHT(G7,2)&amp;"A"</f>
        <v>2Q21A</v>
      </c>
      <c r="E7" s="77" t="str">
        <f ca="1">"3Q"&amp;RIGHT(G7,2)&amp;"A"</f>
        <v>3Q21A</v>
      </c>
      <c r="F7" s="77" t="str">
        <f ca="1">"4Q"&amp;RIGHT(G7,2)&amp;"A"</f>
        <v>4Q21A</v>
      </c>
      <c r="G7" s="78">
        <f ca="1">YEAR(TODAY())+G$5</f>
        <v>2021</v>
      </c>
      <c r="H7" s="77" t="str">
        <f ca="1">"1Q"&amp;RIGHT(L7,2)&amp;"A"</f>
        <v>1Q22A</v>
      </c>
      <c r="I7" s="77" t="str">
        <f ca="1">"2Q"&amp;RIGHT(L7,2)&amp;"A"</f>
        <v>2Q22A</v>
      </c>
      <c r="J7" s="77" t="str">
        <f ca="1">"3Q"&amp;RIGHT(L7,2)&amp;"A"</f>
        <v>3Q22A</v>
      </c>
      <c r="K7" s="77" t="str">
        <f ca="1">"4Q"&amp;RIGHT(L7,2)&amp;"A"</f>
        <v>4Q22A</v>
      </c>
      <c r="L7" s="78">
        <f ca="1">YEAR(TODAY())+L$5</f>
        <v>2022</v>
      </c>
      <c r="M7" s="77" t="str">
        <f ca="1">"1Q"&amp;RIGHT(Q7,2)&amp;"A"</f>
        <v>1Q23A</v>
      </c>
      <c r="N7" s="77" t="str">
        <f ca="1">"2Q"&amp;RIGHT(Q7,2)&amp;"A"</f>
        <v>2Q23A</v>
      </c>
      <c r="O7" s="77" t="str">
        <f ca="1">"3Q"&amp;RIGHT(Q7,2)&amp;"A"</f>
        <v>3Q23A</v>
      </c>
      <c r="P7" s="77" t="str">
        <f ca="1">"4Q"&amp;RIGHT(Q7,2)&amp;"A"</f>
        <v>4Q23A</v>
      </c>
      <c r="Q7" s="78">
        <f ca="1">YEAR(TODAY())+Q$5</f>
        <v>2023</v>
      </c>
      <c r="R7" s="77" t="s">
        <v>60</v>
      </c>
      <c r="S7" s="77" t="s">
        <v>61</v>
      </c>
      <c r="T7" s="77" t="s">
        <v>62</v>
      </c>
      <c r="U7" s="77" t="s">
        <v>63</v>
      </c>
      <c r="V7" s="78">
        <f ca="1">YEAR(TODAY())+V$5</f>
        <v>2024</v>
      </c>
      <c r="W7" s="77" t="str">
        <f ca="1">IF(MONTH(TODAY())&gt;3,"1Q"&amp;RIGHT(AA7,2)&amp;"A","1Q"&amp;RIGHT(AA7,2)&amp;"A")</f>
        <v>1Q25A</v>
      </c>
      <c r="X7" s="77" t="str">
        <f ca="1">IF(MONTH(TODAY())&gt;6,"2Q"&amp;RIGHT(AA7,2)&amp;"A","2Q"&amp;RIGHT(AA7,2)&amp;"A")</f>
        <v>2Q25A</v>
      </c>
      <c r="Y7" s="77" t="str">
        <f ca="1">IF(MONTH(TODAY())&gt;9,"3Q"&amp;RIGHT(AA7,2)&amp;"A","3Q"&amp;RIGHT(AA7,2)&amp;"A")</f>
        <v>3Q25A</v>
      </c>
      <c r="Z7" s="77" t="str">
        <f ca="1">"4Q"&amp;RIGHT(AA7,2)&amp;"A"</f>
        <v>4Q25A</v>
      </c>
      <c r="AA7" s="78">
        <f ca="1">YEAR(TODAY())+AA$5</f>
        <v>2025</v>
      </c>
      <c r="AB7" s="77" t="str">
        <f ca="1">"1Q"&amp;RIGHT(AF7,3)</f>
        <v>1Q26e</v>
      </c>
      <c r="AC7" s="77" t="str">
        <f ca="1">"2Q"&amp;RIGHT(AF7,3)</f>
        <v>2Q26e</v>
      </c>
      <c r="AD7" s="77" t="str">
        <f ca="1">"3Q"&amp;RIGHT(AF7,3)</f>
        <v>3Q26e</v>
      </c>
      <c r="AE7" s="77" t="str">
        <f ca="1">"4Q"&amp;RIGHT(AF7,3)</f>
        <v>4Q26e</v>
      </c>
      <c r="AF7" s="78" t="str">
        <f ca="1">YEAR(TODAY())+AF$5&amp;"e"</f>
        <v>2026e</v>
      </c>
      <c r="AG7" s="78" t="str">
        <f ca="1">YEAR(TODAY())+AG$5&amp;"e"</f>
        <v>2027e</v>
      </c>
      <c r="AH7" s="78" t="str">
        <f ca="1">YEAR(TODAY())+AH$5&amp;"e"</f>
        <v>2028e</v>
      </c>
      <c r="AI7" s="78" t="str">
        <f ca="1">YEAR(TODAY())+AI$5&amp;"e"</f>
        <v>2029e</v>
      </c>
      <c r="AJ7" s="78" t="str">
        <f ca="1">YEAR(TODAY())+AJ$5&amp;"e"</f>
        <v>2030e</v>
      </c>
    </row>
    <row r="8" spans="1:36" s="183" customFormat="1" ht="31" customHeight="1" thickBot="1" x14ac:dyDescent="0.25">
      <c r="A8" s="79" t="s">
        <v>5</v>
      </c>
      <c r="B8" s="80"/>
      <c r="C8" s="81">
        <f>'Revenue (More Detailed)'!B9</f>
        <v>4.5</v>
      </c>
      <c r="D8" s="81">
        <f>'Revenue (More Detailed)'!C9</f>
        <v>7</v>
      </c>
      <c r="E8" s="81">
        <f>'Revenue (More Detailed)'!D9</f>
        <v>21.5</v>
      </c>
      <c r="F8" s="81">
        <f>'Revenue (More Detailed)'!E9</f>
        <v>32</v>
      </c>
      <c r="G8" s="82">
        <f>SUM(C8:F8)</f>
        <v>65</v>
      </c>
      <c r="H8" s="81">
        <f>'Revenue (More Detailed)'!G9</f>
        <v>9.8000000000000007</v>
      </c>
      <c r="I8" s="81">
        <f>'Revenue (More Detailed)'!H9</f>
        <v>15.200000000000001</v>
      </c>
      <c r="J8" s="81">
        <f>'Revenue (More Detailed)'!I9</f>
        <v>47</v>
      </c>
      <c r="K8" s="81">
        <f>'Revenue (More Detailed)'!J9</f>
        <v>70</v>
      </c>
      <c r="L8" s="82">
        <f>SUM(H8:K8)</f>
        <v>142</v>
      </c>
      <c r="M8" s="81">
        <f>'Revenue (More Detailed)'!L9</f>
        <v>20.430000000000003</v>
      </c>
      <c r="N8" s="81">
        <f>'Revenue (More Detailed)'!M9</f>
        <v>31.62</v>
      </c>
      <c r="O8" s="81">
        <f>'Revenue (More Detailed)'!N9</f>
        <v>98.25</v>
      </c>
      <c r="P8" s="81">
        <f>'Revenue (More Detailed)'!O9</f>
        <v>146.4</v>
      </c>
      <c r="Q8" s="82">
        <f>SUM(M8:P8)</f>
        <v>296.70000000000005</v>
      </c>
      <c r="R8" s="81">
        <f>'Revenue (More Detailed)'!Q9</f>
        <v>40.665000000000006</v>
      </c>
      <c r="S8" s="81">
        <f>'Revenue (More Detailed)'!R9</f>
        <v>62.85</v>
      </c>
      <c r="T8" s="81">
        <f>'Revenue (More Detailed)'!S9</f>
        <v>195.91500000000002</v>
      </c>
      <c r="U8" s="81">
        <f>'Revenue (More Detailed)'!T9</f>
        <v>292.02</v>
      </c>
      <c r="V8" s="82">
        <f>SUM(R8:U8)</f>
        <v>591.45000000000005</v>
      </c>
      <c r="W8" s="81">
        <f>'Revenue (More Detailed)'!V9</f>
        <v>77.078250000000011</v>
      </c>
      <c r="X8" s="81">
        <f>'Revenue (More Detailed)'!W9</f>
        <v>119.0445</v>
      </c>
      <c r="Y8" s="81">
        <f>'Revenue (More Detailed)'!X9</f>
        <v>371.68275</v>
      </c>
      <c r="Z8" s="81">
        <f>'Revenue (More Detailed)'!Y9</f>
        <v>554.09699999999998</v>
      </c>
      <c r="AA8" s="82">
        <f>SUM(W8:Z8)</f>
        <v>1121.9024999999999</v>
      </c>
      <c r="AB8" s="81">
        <f>'Revenue (More Detailed)'!AA9</f>
        <v>138.74085000000005</v>
      </c>
      <c r="AC8" s="81">
        <f>'Revenue (More Detailed)'!AB9</f>
        <v>214.2801</v>
      </c>
      <c r="AD8" s="81">
        <f>'Revenue (More Detailed)'!AC9</f>
        <v>669.02895000000012</v>
      </c>
      <c r="AE8" s="81">
        <f>'Revenue (More Detailed)'!AD9</f>
        <v>997.37459999999987</v>
      </c>
      <c r="AF8" s="82">
        <f>'Revenue (More Detailed)'!AE9</f>
        <v>2019.4245000000001</v>
      </c>
      <c r="AG8" s="82">
        <f>'Revenue (More Detailed)'!AF9</f>
        <v>3439.1904749999999</v>
      </c>
      <c r="AH8" s="82">
        <f>'Revenue (More Detailed)'!AG9</f>
        <v>5524.2956475000001</v>
      </c>
      <c r="AI8" s="82">
        <f>'Revenue (More Detailed)'!AH9</f>
        <v>8341.5002343750002</v>
      </c>
      <c r="AJ8" s="82">
        <f>'Revenue (More Detailed)'!AI9</f>
        <v>11799.225207</v>
      </c>
    </row>
    <row r="9" spans="1:36" s="144" customFormat="1" ht="12.75" customHeight="1" x14ac:dyDescent="0.2">
      <c r="A9" s="83" t="s">
        <v>37</v>
      </c>
      <c r="B9" s="84"/>
      <c r="C9" s="85"/>
      <c r="D9" s="85"/>
      <c r="E9" s="85"/>
      <c r="F9" s="85"/>
      <c r="G9" s="86"/>
      <c r="H9" s="87">
        <f t="shared" ref="H9:AE9" si="0">H8/C8-1</f>
        <v>1.177777777777778</v>
      </c>
      <c r="I9" s="85">
        <f t="shared" si="0"/>
        <v>1.1714285714285717</v>
      </c>
      <c r="J9" s="85">
        <f t="shared" si="0"/>
        <v>1.1860465116279069</v>
      </c>
      <c r="K9" s="85">
        <f t="shared" si="0"/>
        <v>1.1875</v>
      </c>
      <c r="L9" s="86">
        <f t="shared" si="0"/>
        <v>1.1846153846153844</v>
      </c>
      <c r="M9" s="85">
        <f t="shared" si="0"/>
        <v>1.0846938775510204</v>
      </c>
      <c r="N9" s="85">
        <f t="shared" si="0"/>
        <v>1.0802631578947368</v>
      </c>
      <c r="O9" s="85">
        <f t="shared" si="0"/>
        <v>1.0904255319148937</v>
      </c>
      <c r="P9" s="85">
        <f t="shared" si="0"/>
        <v>1.0914285714285716</v>
      </c>
      <c r="Q9" s="86">
        <f t="shared" si="0"/>
        <v>1.0894366197183101</v>
      </c>
      <c r="R9" s="85">
        <f t="shared" si="0"/>
        <v>0.99045521292217331</v>
      </c>
      <c r="S9" s="85">
        <f t="shared" si="0"/>
        <v>0.98766603415559762</v>
      </c>
      <c r="T9" s="85">
        <f t="shared" si="0"/>
        <v>0.99404580152671773</v>
      </c>
      <c r="U9" s="85">
        <f t="shared" si="0"/>
        <v>0.99467213114754083</v>
      </c>
      <c r="V9" s="86">
        <f t="shared" si="0"/>
        <v>0.99342770475227482</v>
      </c>
      <c r="W9" s="85">
        <f t="shared" si="0"/>
        <v>0.89544448542973076</v>
      </c>
      <c r="X9" s="85">
        <f t="shared" si="0"/>
        <v>0.89410501193317415</v>
      </c>
      <c r="Y9" s="85">
        <f t="shared" si="0"/>
        <v>0.89716331061940102</v>
      </c>
      <c r="Z9" s="85">
        <f t="shared" si="0"/>
        <v>0.89746250256831739</v>
      </c>
      <c r="AA9" s="86">
        <f t="shared" si="0"/>
        <v>0.89686786710626398</v>
      </c>
      <c r="AB9" s="85">
        <f t="shared" si="0"/>
        <v>0.80000000000000049</v>
      </c>
      <c r="AC9" s="85">
        <f t="shared" si="0"/>
        <v>0.8</v>
      </c>
      <c r="AD9" s="85">
        <f t="shared" si="0"/>
        <v>0.80000000000000027</v>
      </c>
      <c r="AE9" s="85">
        <f t="shared" si="0"/>
        <v>0.79999999999999982</v>
      </c>
      <c r="AF9" s="86">
        <f>AF8/AA8-1</f>
        <v>0.80000000000000027</v>
      </c>
      <c r="AG9" s="86">
        <f>AG8/AF8-1</f>
        <v>0.70305474406198387</v>
      </c>
      <c r="AH9" s="86">
        <f>AH8/AG8-1</f>
        <v>0.60627789814403932</v>
      </c>
      <c r="AI9" s="86">
        <f>AI8/AH8-1</f>
        <v>0.50996629554935491</v>
      </c>
      <c r="AJ9" s="86">
        <f>AJ8/AI8-1</f>
        <v>0.41452075471698113</v>
      </c>
    </row>
    <row r="10" spans="1:36" s="144" customFormat="1" ht="12.75" customHeight="1" x14ac:dyDescent="0.2">
      <c r="A10" s="83" t="s">
        <v>38</v>
      </c>
      <c r="B10" s="84"/>
      <c r="C10" s="85"/>
      <c r="D10" s="85">
        <f>D8/C8-1</f>
        <v>0.55555555555555558</v>
      </c>
      <c r="E10" s="85">
        <f>E8/D8-1</f>
        <v>2.0714285714285716</v>
      </c>
      <c r="F10" s="85">
        <f>F8/E8-1</f>
        <v>0.48837209302325579</v>
      </c>
      <c r="G10" s="263"/>
      <c r="H10" s="87">
        <f>H8/F8-1</f>
        <v>-0.69374999999999998</v>
      </c>
      <c r="I10" s="85">
        <f>I8/H8-1</f>
        <v>0.55102040816326525</v>
      </c>
      <c r="J10" s="85">
        <f>J8/I8-1</f>
        <v>2.0921052631578947</v>
      </c>
      <c r="K10" s="85">
        <f>K8/J8-1</f>
        <v>0.4893617021276595</v>
      </c>
      <c r="L10" s="263"/>
      <c r="M10" s="85">
        <f>M8/K8-1</f>
        <v>-0.70814285714285707</v>
      </c>
      <c r="N10" s="85">
        <f>N8/M8-1</f>
        <v>0.54772393538913344</v>
      </c>
      <c r="O10" s="85">
        <f>O8/N8-1</f>
        <v>2.107210626185958</v>
      </c>
      <c r="P10" s="85">
        <f>P8/O8-1</f>
        <v>0.49007633587786259</v>
      </c>
      <c r="Q10" s="263"/>
      <c r="R10" s="85">
        <f>R8/P8-1</f>
        <v>-0.72223360655737701</v>
      </c>
      <c r="S10" s="85">
        <f>S8/R8-1</f>
        <v>0.54555514570269259</v>
      </c>
      <c r="T10" s="85">
        <f>T8/S8-1</f>
        <v>2.117183770883055</v>
      </c>
      <c r="U10" s="85">
        <f>U8/T8-1</f>
        <v>0.49054436873133733</v>
      </c>
      <c r="V10" s="263"/>
      <c r="W10" s="85">
        <f>W8/U8-1</f>
        <v>-0.73605146907746044</v>
      </c>
      <c r="X10" s="85">
        <f>X8/W8-1</f>
        <v>0.54446293215011998</v>
      </c>
      <c r="Y10" s="85">
        <f>Y8/X8-1</f>
        <v>2.1222169020828345</v>
      </c>
      <c r="Z10" s="85">
        <f>Z8/Y8-1</f>
        <v>0.49077943488095688</v>
      </c>
      <c r="AA10" s="263"/>
      <c r="AB10" s="85">
        <f>AB8/Z8-1</f>
        <v>-0.74960909371463824</v>
      </c>
      <c r="AC10" s="85">
        <f>AC8/AB8-1</f>
        <v>0.54446293215011954</v>
      </c>
      <c r="AD10" s="85">
        <f>AD8/AC8-1</f>
        <v>2.122216902082835</v>
      </c>
      <c r="AE10" s="85">
        <f>AE8/AD8-1</f>
        <v>0.49077943488095643</v>
      </c>
      <c r="AF10" s="264"/>
      <c r="AG10" s="264"/>
      <c r="AH10" s="264"/>
      <c r="AI10" s="264"/>
      <c r="AJ10" s="264"/>
    </row>
    <row r="11" spans="1:36" s="144" customFormat="1" ht="12.75" customHeight="1" x14ac:dyDescent="0.2">
      <c r="A11" s="83"/>
      <c r="B11" s="84"/>
      <c r="C11" s="85"/>
      <c r="D11" s="85"/>
      <c r="E11" s="85"/>
      <c r="F11" s="85"/>
      <c r="G11" s="263"/>
      <c r="H11" s="87"/>
      <c r="I11" s="85"/>
      <c r="J11" s="85"/>
      <c r="K11" s="85"/>
      <c r="L11" s="263"/>
      <c r="M11" s="85"/>
      <c r="N11" s="85"/>
      <c r="O11" s="85"/>
      <c r="P11" s="85"/>
      <c r="Q11" s="263"/>
      <c r="R11" s="85"/>
      <c r="S11" s="85"/>
      <c r="T11" s="85"/>
      <c r="U11" s="85"/>
      <c r="V11" s="263"/>
      <c r="W11" s="85"/>
      <c r="X11" s="85"/>
      <c r="Y11" s="85"/>
      <c r="Z11" s="85"/>
      <c r="AA11" s="263"/>
      <c r="AB11" s="85"/>
      <c r="AC11" s="85"/>
      <c r="AD11" s="85"/>
      <c r="AE11" s="85"/>
      <c r="AF11" s="264"/>
      <c r="AG11" s="264"/>
      <c r="AH11" s="264"/>
      <c r="AI11" s="264"/>
      <c r="AJ11" s="264"/>
    </row>
    <row r="12" spans="1:36" s="184" customFormat="1" ht="12.75" customHeight="1" x14ac:dyDescent="0.2">
      <c r="A12" s="88" t="s">
        <v>39</v>
      </c>
      <c r="B12" s="89"/>
      <c r="C12" s="265">
        <v>1.3499999999999999</v>
      </c>
      <c r="D12" s="265">
        <v>2.1</v>
      </c>
      <c r="E12" s="265">
        <v>6.45</v>
      </c>
      <c r="F12" s="265">
        <v>9.6</v>
      </c>
      <c r="G12" s="90">
        <v>19.5</v>
      </c>
      <c r="H12" s="265">
        <v>2.7440000000000007</v>
      </c>
      <c r="I12" s="265">
        <v>4.2560000000000011</v>
      </c>
      <c r="J12" s="265">
        <v>13.160000000000002</v>
      </c>
      <c r="K12" s="265">
        <v>19.600000000000001</v>
      </c>
      <c r="L12" s="90">
        <v>39.760000000000005</v>
      </c>
      <c r="M12" s="265">
        <v>5.3118000000000007</v>
      </c>
      <c r="N12" s="265">
        <v>8.2212000000000014</v>
      </c>
      <c r="O12" s="265">
        <v>25.545000000000002</v>
      </c>
      <c r="P12" s="265">
        <v>38.064</v>
      </c>
      <c r="Q12" s="90">
        <v>77.141999999999996</v>
      </c>
      <c r="R12" s="265">
        <v>9.7596000000000007</v>
      </c>
      <c r="S12" s="265">
        <v>15.084</v>
      </c>
      <c r="T12" s="265">
        <v>47.019600000000004</v>
      </c>
      <c r="U12" s="266">
        <v>70.084799999999987</v>
      </c>
      <c r="V12" s="90">
        <v>141.94799999999998</v>
      </c>
      <c r="W12" s="265">
        <v>16.957215000000001</v>
      </c>
      <c r="X12" s="265">
        <v>26.189789999999999</v>
      </c>
      <c r="Y12" s="265">
        <v>81.770205000000004</v>
      </c>
      <c r="Z12" s="266">
        <v>121.90133999999999</v>
      </c>
      <c r="AA12" s="90">
        <f>SUM(W12:Z12)</f>
        <v>246.81855000000002</v>
      </c>
      <c r="AB12" s="249">
        <f>AB8*AB13</f>
        <v>27.748170000000012</v>
      </c>
      <c r="AC12" s="267">
        <f>AC8*AC13</f>
        <v>42.856020000000001</v>
      </c>
      <c r="AD12" s="267">
        <f>AD8*AD13</f>
        <v>133.80579000000003</v>
      </c>
      <c r="AE12" s="268">
        <f>AE8*AE13</f>
        <v>199.47492</v>
      </c>
      <c r="AF12" s="90">
        <f>SUM(AB12:AE12)</f>
        <v>403.88490000000002</v>
      </c>
      <c r="AG12" s="90">
        <f>AG8*AG13</f>
        <v>619.05428549999999</v>
      </c>
      <c r="AH12" s="90">
        <f>AH8*AH13</f>
        <v>883.8873036</v>
      </c>
      <c r="AI12" s="90">
        <f>AI8*AI13</f>
        <v>1167.8100328125001</v>
      </c>
      <c r="AJ12" s="90">
        <f>AJ8*AJ13</f>
        <v>1415.9070248399998</v>
      </c>
    </row>
    <row r="13" spans="1:36" s="144" customFormat="1" ht="12.75" customHeight="1" x14ac:dyDescent="0.2">
      <c r="A13" s="91" t="s">
        <v>40</v>
      </c>
      <c r="B13" s="84"/>
      <c r="C13" s="85">
        <f t="shared" ref="C13:U13" si="1">C12/C8</f>
        <v>0.3</v>
      </c>
      <c r="D13" s="85">
        <f t="shared" si="1"/>
        <v>0.3</v>
      </c>
      <c r="E13" s="85">
        <f t="shared" si="1"/>
        <v>0.3</v>
      </c>
      <c r="F13" s="85">
        <f t="shared" si="1"/>
        <v>0.3</v>
      </c>
      <c r="G13" s="92">
        <f t="shared" si="1"/>
        <v>0.3</v>
      </c>
      <c r="H13" s="87">
        <f t="shared" si="1"/>
        <v>0.28000000000000003</v>
      </c>
      <c r="I13" s="87">
        <f t="shared" si="1"/>
        <v>0.28000000000000003</v>
      </c>
      <c r="J13" s="87">
        <f t="shared" si="1"/>
        <v>0.28000000000000003</v>
      </c>
      <c r="K13" s="87">
        <f t="shared" si="1"/>
        <v>0.28000000000000003</v>
      </c>
      <c r="L13" s="92">
        <f t="shared" si="1"/>
        <v>0.28000000000000003</v>
      </c>
      <c r="M13" s="87">
        <f t="shared" si="1"/>
        <v>0.26</v>
      </c>
      <c r="N13" s="87">
        <f t="shared" si="1"/>
        <v>0.26</v>
      </c>
      <c r="O13" s="87">
        <f t="shared" si="1"/>
        <v>0.26</v>
      </c>
      <c r="P13" s="87">
        <f t="shared" si="1"/>
        <v>0.26</v>
      </c>
      <c r="Q13" s="92">
        <f t="shared" si="1"/>
        <v>0.25999999999999995</v>
      </c>
      <c r="R13" s="87">
        <f t="shared" si="1"/>
        <v>0.24</v>
      </c>
      <c r="S13" s="87">
        <f t="shared" si="1"/>
        <v>0.24</v>
      </c>
      <c r="T13" s="87">
        <f t="shared" si="1"/>
        <v>0.24</v>
      </c>
      <c r="U13" s="87">
        <f t="shared" si="1"/>
        <v>0.23999999999999996</v>
      </c>
      <c r="V13" s="92">
        <f>V12/V8</f>
        <v>0.23999999999999994</v>
      </c>
      <c r="W13" s="87">
        <f t="shared" ref="W13:AA13" si="2">W12/W8</f>
        <v>0.21999999999999997</v>
      </c>
      <c r="X13" s="87">
        <f t="shared" si="2"/>
        <v>0.22</v>
      </c>
      <c r="Y13" s="87">
        <f t="shared" si="2"/>
        <v>0.22</v>
      </c>
      <c r="Z13" s="87">
        <f t="shared" si="2"/>
        <v>0.22</v>
      </c>
      <c r="AA13" s="92">
        <f t="shared" si="2"/>
        <v>0.22000000000000003</v>
      </c>
      <c r="AB13" s="269">
        <v>0.2</v>
      </c>
      <c r="AC13" s="270">
        <v>0.2</v>
      </c>
      <c r="AD13" s="270">
        <v>0.2</v>
      </c>
      <c r="AE13" s="271">
        <v>0.2</v>
      </c>
      <c r="AF13" s="250">
        <f>AF12/AF$8</f>
        <v>0.2</v>
      </c>
      <c r="AG13" s="272">
        <v>0.18</v>
      </c>
      <c r="AH13" s="272">
        <v>0.16</v>
      </c>
      <c r="AI13" s="272">
        <v>0.14000000000000001</v>
      </c>
      <c r="AJ13" s="272">
        <v>0.12</v>
      </c>
    </row>
    <row r="14" spans="1:36" s="184" customFormat="1" ht="12.75" customHeight="1" thickBot="1" x14ac:dyDescent="0.25">
      <c r="A14" s="93" t="s">
        <v>41</v>
      </c>
      <c r="B14" s="94"/>
      <c r="C14" s="95">
        <f>C8-C12</f>
        <v>3.1500000000000004</v>
      </c>
      <c r="D14" s="95">
        <f>D8-D12</f>
        <v>4.9000000000000004</v>
      </c>
      <c r="E14" s="95">
        <f>E8-E12</f>
        <v>15.05</v>
      </c>
      <c r="F14" s="96">
        <f>F8-F12</f>
        <v>22.4</v>
      </c>
      <c r="G14" s="97">
        <f>G8-G12</f>
        <v>45.5</v>
      </c>
      <c r="H14" s="95">
        <f t="shared" ref="H14:AJ14" si="3">H8-H12</f>
        <v>7.056</v>
      </c>
      <c r="I14" s="95">
        <f t="shared" si="3"/>
        <v>10.943999999999999</v>
      </c>
      <c r="J14" s="95">
        <f t="shared" si="3"/>
        <v>33.839999999999996</v>
      </c>
      <c r="K14" s="96">
        <f t="shared" si="3"/>
        <v>50.4</v>
      </c>
      <c r="L14" s="97">
        <f>L8-L12</f>
        <v>102.24</v>
      </c>
      <c r="M14" s="95">
        <f t="shared" si="3"/>
        <v>15.118200000000002</v>
      </c>
      <c r="N14" s="95">
        <f t="shared" si="3"/>
        <v>23.398800000000001</v>
      </c>
      <c r="O14" s="95">
        <f t="shared" si="3"/>
        <v>72.704999999999998</v>
      </c>
      <c r="P14" s="96">
        <f t="shared" si="3"/>
        <v>108.33600000000001</v>
      </c>
      <c r="Q14" s="97">
        <f>Q8-Q12</f>
        <v>219.55800000000005</v>
      </c>
      <c r="R14" s="95">
        <f t="shared" si="3"/>
        <v>30.905400000000007</v>
      </c>
      <c r="S14" s="95">
        <f t="shared" si="3"/>
        <v>47.766000000000005</v>
      </c>
      <c r="T14" s="95">
        <f t="shared" si="3"/>
        <v>148.89540000000002</v>
      </c>
      <c r="U14" s="96">
        <f t="shared" si="3"/>
        <v>221.93520000000001</v>
      </c>
      <c r="V14" s="97">
        <f>V8-V12</f>
        <v>449.50200000000007</v>
      </c>
      <c r="W14" s="95">
        <f t="shared" si="3"/>
        <v>60.121035000000006</v>
      </c>
      <c r="X14" s="95">
        <f t="shared" si="3"/>
        <v>92.854709999999997</v>
      </c>
      <c r="Y14" s="95">
        <f t="shared" si="3"/>
        <v>289.91254500000002</v>
      </c>
      <c r="Z14" s="96">
        <f t="shared" si="3"/>
        <v>432.19565999999998</v>
      </c>
      <c r="AA14" s="97">
        <f t="shared" si="3"/>
        <v>875.08394999999996</v>
      </c>
      <c r="AB14" s="95">
        <f t="shared" si="3"/>
        <v>110.99268000000004</v>
      </c>
      <c r="AC14" s="95">
        <f t="shared" si="3"/>
        <v>171.42408</v>
      </c>
      <c r="AD14" s="95">
        <f t="shared" si="3"/>
        <v>535.22316000000012</v>
      </c>
      <c r="AE14" s="95">
        <f t="shared" si="3"/>
        <v>797.89967999999988</v>
      </c>
      <c r="AF14" s="97">
        <f t="shared" si="3"/>
        <v>1615.5396000000001</v>
      </c>
      <c r="AG14" s="97">
        <f t="shared" si="3"/>
        <v>2820.1361895</v>
      </c>
      <c r="AH14" s="97">
        <f t="shared" si="3"/>
        <v>4640.4083439000005</v>
      </c>
      <c r="AI14" s="97">
        <f t="shared" si="3"/>
        <v>7173.6902015625001</v>
      </c>
      <c r="AJ14" s="97">
        <f t="shared" si="3"/>
        <v>10383.318182159999</v>
      </c>
    </row>
    <row r="15" spans="1:36" s="144" customFormat="1" ht="14.25" customHeight="1" x14ac:dyDescent="0.2">
      <c r="A15" s="83" t="s">
        <v>42</v>
      </c>
      <c r="B15" s="84"/>
      <c r="C15" s="85">
        <f t="shared" ref="C15:AE15" si="4">C14/C8</f>
        <v>0.70000000000000007</v>
      </c>
      <c r="D15" s="85">
        <f t="shared" si="4"/>
        <v>0.70000000000000007</v>
      </c>
      <c r="E15" s="85">
        <f t="shared" si="4"/>
        <v>0.70000000000000007</v>
      </c>
      <c r="F15" s="98">
        <f t="shared" si="4"/>
        <v>0.7</v>
      </c>
      <c r="G15" s="86">
        <f t="shared" si="4"/>
        <v>0.7</v>
      </c>
      <c r="H15" s="85">
        <f t="shared" si="4"/>
        <v>0.72</v>
      </c>
      <c r="I15" s="85">
        <f t="shared" si="4"/>
        <v>0.71999999999999986</v>
      </c>
      <c r="J15" s="85">
        <f t="shared" si="4"/>
        <v>0.72</v>
      </c>
      <c r="K15" s="98">
        <f t="shared" si="4"/>
        <v>0.72</v>
      </c>
      <c r="L15" s="86">
        <f t="shared" si="4"/>
        <v>0.72</v>
      </c>
      <c r="M15" s="85">
        <f t="shared" si="4"/>
        <v>0.74</v>
      </c>
      <c r="N15" s="85">
        <f t="shared" si="4"/>
        <v>0.74</v>
      </c>
      <c r="O15" s="85">
        <f t="shared" si="4"/>
        <v>0.74</v>
      </c>
      <c r="P15" s="98">
        <f t="shared" si="4"/>
        <v>0.7400000000000001</v>
      </c>
      <c r="Q15" s="86">
        <f t="shared" si="4"/>
        <v>0.7400000000000001</v>
      </c>
      <c r="R15" s="85">
        <f t="shared" si="4"/>
        <v>0.76</v>
      </c>
      <c r="S15" s="85">
        <f t="shared" si="4"/>
        <v>0.76000000000000012</v>
      </c>
      <c r="T15" s="85">
        <f t="shared" si="4"/>
        <v>0.76</v>
      </c>
      <c r="U15" s="98">
        <f t="shared" si="4"/>
        <v>0.76000000000000012</v>
      </c>
      <c r="V15" s="86">
        <f t="shared" si="4"/>
        <v>0.76</v>
      </c>
      <c r="W15" s="85">
        <f t="shared" si="4"/>
        <v>0.77999999999999992</v>
      </c>
      <c r="X15" s="85">
        <f t="shared" si="4"/>
        <v>0.78</v>
      </c>
      <c r="Y15" s="85">
        <f t="shared" si="4"/>
        <v>0.78</v>
      </c>
      <c r="Z15" s="98">
        <f t="shared" si="4"/>
        <v>0.78</v>
      </c>
      <c r="AA15" s="86">
        <f t="shared" si="4"/>
        <v>0.78</v>
      </c>
      <c r="AB15" s="85">
        <f t="shared" si="4"/>
        <v>0.79999999999999993</v>
      </c>
      <c r="AC15" s="85">
        <f t="shared" si="4"/>
        <v>0.8</v>
      </c>
      <c r="AD15" s="85">
        <f t="shared" si="4"/>
        <v>0.8</v>
      </c>
      <c r="AE15" s="85">
        <f t="shared" si="4"/>
        <v>0.79999999999999993</v>
      </c>
      <c r="AF15" s="86">
        <f>AF14/AF8</f>
        <v>0.8</v>
      </c>
      <c r="AG15" s="99">
        <f>AG14/AG8</f>
        <v>0.82000000000000006</v>
      </c>
      <c r="AH15" s="99">
        <f>AH14/AH8</f>
        <v>0.84000000000000008</v>
      </c>
      <c r="AI15" s="99">
        <f>AI14/AI8</f>
        <v>0.86</v>
      </c>
      <c r="AJ15" s="99">
        <f>AJ14/AJ8</f>
        <v>0.88</v>
      </c>
    </row>
    <row r="16" spans="1:36" s="144" customFormat="1" ht="14.25" customHeight="1" x14ac:dyDescent="0.2">
      <c r="A16" s="83"/>
      <c r="B16" s="84"/>
      <c r="C16" s="85"/>
      <c r="D16" s="85"/>
      <c r="E16" s="85"/>
      <c r="F16" s="85"/>
      <c r="G16" s="86"/>
      <c r="H16" s="85"/>
      <c r="I16" s="85"/>
      <c r="J16" s="85"/>
      <c r="K16" s="85"/>
      <c r="L16" s="86"/>
      <c r="M16" s="85"/>
      <c r="N16" s="85"/>
      <c r="O16" s="85"/>
      <c r="P16" s="85"/>
      <c r="Q16" s="86"/>
      <c r="R16" s="85"/>
      <c r="S16" s="85"/>
      <c r="T16" s="85"/>
      <c r="U16" s="85"/>
      <c r="V16" s="86"/>
      <c r="W16" s="85"/>
      <c r="X16" s="85"/>
      <c r="Y16" s="85"/>
      <c r="Z16" s="85"/>
      <c r="AA16" s="86"/>
      <c r="AB16" s="85"/>
      <c r="AC16" s="85"/>
      <c r="AD16" s="85"/>
      <c r="AE16" s="85"/>
      <c r="AF16" s="86"/>
      <c r="AG16" s="99"/>
      <c r="AH16" s="99"/>
      <c r="AI16" s="99"/>
      <c r="AJ16" s="99"/>
    </row>
    <row r="17" spans="1:38" s="184" customFormat="1" ht="12.75" customHeight="1" x14ac:dyDescent="0.2">
      <c r="A17" s="88" t="s">
        <v>43</v>
      </c>
      <c r="B17" s="89"/>
      <c r="C17" s="265">
        <v>0.76500000000000001</v>
      </c>
      <c r="D17" s="265">
        <v>1.1900000000000002</v>
      </c>
      <c r="E17" s="265">
        <v>3.6550000000000002</v>
      </c>
      <c r="F17" s="265">
        <v>5.44</v>
      </c>
      <c r="G17" s="90">
        <f>SUM(C17:F17)</f>
        <v>11.05</v>
      </c>
      <c r="H17" s="265">
        <v>1.5680000000000001</v>
      </c>
      <c r="I17" s="265">
        <v>2.4320000000000004</v>
      </c>
      <c r="J17" s="265">
        <v>7.5200000000000005</v>
      </c>
      <c r="K17" s="265">
        <v>11.200000000000001</v>
      </c>
      <c r="L17" s="90">
        <f>SUM(H17:K17)</f>
        <v>22.72</v>
      </c>
      <c r="M17" s="265">
        <v>3.0645000000000002</v>
      </c>
      <c r="N17" s="265">
        <v>4.7430000000000003</v>
      </c>
      <c r="O17" s="265">
        <v>14.737499999999999</v>
      </c>
      <c r="P17" s="265">
        <v>21.96</v>
      </c>
      <c r="Q17" s="90">
        <f>SUM(M17:P17)</f>
        <v>44.505000000000003</v>
      </c>
      <c r="R17" s="265">
        <v>5.6931000000000012</v>
      </c>
      <c r="S17" s="265">
        <v>8.7990000000000013</v>
      </c>
      <c r="T17" s="265">
        <v>27.428100000000004</v>
      </c>
      <c r="U17" s="265">
        <v>40.882800000000003</v>
      </c>
      <c r="V17" s="90">
        <f>SUM(R17:U17)</f>
        <v>82.803000000000011</v>
      </c>
      <c r="W17" s="265">
        <f>W8*0.13</f>
        <v>10.020172500000001</v>
      </c>
      <c r="X17" s="265">
        <f t="shared" ref="X17:Z17" si="5">X8*0.13</f>
        <v>15.475785</v>
      </c>
      <c r="Y17" s="265">
        <f t="shared" si="5"/>
        <v>48.318757500000004</v>
      </c>
      <c r="Z17" s="265">
        <f t="shared" si="5"/>
        <v>72.032610000000005</v>
      </c>
      <c r="AA17" s="90">
        <f>SUM(W17:Z17)</f>
        <v>145.84732500000001</v>
      </c>
      <c r="AB17" s="249">
        <f>AB18*AB8</f>
        <v>16.648902000000007</v>
      </c>
      <c r="AC17" s="267">
        <f>AC18*AC8</f>
        <v>25.713612000000001</v>
      </c>
      <c r="AD17" s="267">
        <f>AD18*AD8</f>
        <v>80.283474000000012</v>
      </c>
      <c r="AE17" s="273">
        <f>AE18*AE8</f>
        <v>119.68495199999998</v>
      </c>
      <c r="AF17" s="90">
        <f>SUM(AB17:AE17)</f>
        <v>242.33094</v>
      </c>
      <c r="AG17" s="90">
        <f>AG18*AG8</f>
        <v>378.31095225000001</v>
      </c>
      <c r="AH17" s="90">
        <f>AH18*AH8</f>
        <v>552.42956475000005</v>
      </c>
      <c r="AI17" s="90">
        <f>AI18*AI8</f>
        <v>750.73502109374999</v>
      </c>
      <c r="AJ17" s="90">
        <f>AJ18*AJ8</f>
        <v>943.93801655999994</v>
      </c>
    </row>
    <row r="18" spans="1:38" s="144" customFormat="1" ht="12.75" customHeight="1" x14ac:dyDescent="0.2">
      <c r="A18" s="83" t="s">
        <v>40</v>
      </c>
      <c r="B18" s="84"/>
      <c r="C18" s="85">
        <f>C17/C8</f>
        <v>0.17</v>
      </c>
      <c r="D18" s="85">
        <f>D17/D8</f>
        <v>0.17</v>
      </c>
      <c r="E18" s="85">
        <f>E17/E8</f>
        <v>0.17</v>
      </c>
      <c r="F18" s="85">
        <f>F17/F8</f>
        <v>0.17</v>
      </c>
      <c r="G18" s="92">
        <f>G17/G$8</f>
        <v>0.17</v>
      </c>
      <c r="H18" s="85">
        <f>H17/H8</f>
        <v>0.16</v>
      </c>
      <c r="I18" s="85">
        <f>I17/I8</f>
        <v>0.16</v>
      </c>
      <c r="J18" s="85">
        <f>J17/J8</f>
        <v>0.16</v>
      </c>
      <c r="K18" s="85">
        <f>K17/K8</f>
        <v>0.16</v>
      </c>
      <c r="L18" s="92">
        <f>L17/L$8</f>
        <v>0.16</v>
      </c>
      <c r="M18" s="85">
        <f>M17/M8</f>
        <v>0.15</v>
      </c>
      <c r="N18" s="85">
        <f>N17/N8</f>
        <v>0.15</v>
      </c>
      <c r="O18" s="85">
        <f>O17/O8</f>
        <v>0.15</v>
      </c>
      <c r="P18" s="85">
        <f>P17/P8</f>
        <v>0.15</v>
      </c>
      <c r="Q18" s="92">
        <f>Q17/Q$8</f>
        <v>0.15</v>
      </c>
      <c r="R18" s="85">
        <f>R17/R8</f>
        <v>0.14000000000000001</v>
      </c>
      <c r="S18" s="85">
        <f>S17/S8</f>
        <v>0.14000000000000001</v>
      </c>
      <c r="T18" s="85">
        <f>T17/T8</f>
        <v>0.14000000000000001</v>
      </c>
      <c r="U18" s="85">
        <f>U17/U8</f>
        <v>0.14000000000000001</v>
      </c>
      <c r="V18" s="92">
        <f>V17/V$8</f>
        <v>0.14000000000000001</v>
      </c>
      <c r="W18" s="85">
        <f>W17/W8</f>
        <v>0.13</v>
      </c>
      <c r="X18" s="85">
        <f>X17/X8</f>
        <v>0.13</v>
      </c>
      <c r="Y18" s="85">
        <f>Y17/Y8</f>
        <v>0.13</v>
      </c>
      <c r="Z18" s="85">
        <f>Z17/Z8</f>
        <v>0.13</v>
      </c>
      <c r="AA18" s="92">
        <f>AA17/AA$8</f>
        <v>0.13000000000000003</v>
      </c>
      <c r="AB18" s="274">
        <v>0.12</v>
      </c>
      <c r="AC18" s="275">
        <v>0.12</v>
      </c>
      <c r="AD18" s="275">
        <v>0.12</v>
      </c>
      <c r="AE18" s="276">
        <v>0.12</v>
      </c>
      <c r="AF18" s="92">
        <f>AF17/AF$8</f>
        <v>0.12</v>
      </c>
      <c r="AG18" s="277">
        <v>0.11</v>
      </c>
      <c r="AH18" s="277">
        <v>0.1</v>
      </c>
      <c r="AI18" s="277">
        <v>0.09</v>
      </c>
      <c r="AJ18" s="277">
        <v>0.08</v>
      </c>
    </row>
    <row r="19" spans="1:38" s="184" customFormat="1" ht="12.75" customHeight="1" x14ac:dyDescent="0.2">
      <c r="A19" s="88" t="s">
        <v>44</v>
      </c>
      <c r="B19" s="89"/>
      <c r="C19" s="265">
        <v>0.72</v>
      </c>
      <c r="D19" s="265">
        <v>1.1200000000000001</v>
      </c>
      <c r="E19" s="265">
        <v>3.44</v>
      </c>
      <c r="F19" s="265">
        <v>5.12</v>
      </c>
      <c r="G19" s="90">
        <f>SUM(C19:F19)</f>
        <v>10.4</v>
      </c>
      <c r="H19" s="265">
        <v>1.47</v>
      </c>
      <c r="I19" s="265">
        <v>2.2800000000000002</v>
      </c>
      <c r="J19" s="265">
        <v>7.05</v>
      </c>
      <c r="K19" s="265">
        <v>10.5</v>
      </c>
      <c r="L19" s="90">
        <f>SUM(H19:K19)</f>
        <v>21.3</v>
      </c>
      <c r="M19" s="265">
        <v>2.8602000000000007</v>
      </c>
      <c r="N19" s="265">
        <v>4.426800000000001</v>
      </c>
      <c r="O19" s="265">
        <v>13.755000000000001</v>
      </c>
      <c r="P19" s="265">
        <v>20.496000000000002</v>
      </c>
      <c r="Q19" s="90">
        <f>SUM(M19:P19)</f>
        <v>41.538000000000004</v>
      </c>
      <c r="R19" s="265">
        <v>5.2864500000000012</v>
      </c>
      <c r="S19" s="265">
        <v>8.1705000000000005</v>
      </c>
      <c r="T19" s="265">
        <v>25.468950000000003</v>
      </c>
      <c r="U19" s="265">
        <v>37.962600000000002</v>
      </c>
      <c r="V19" s="90">
        <f>SUM(R19:U19)</f>
        <v>76.888500000000008</v>
      </c>
      <c r="W19" s="265">
        <v>9.2493900000000018</v>
      </c>
      <c r="X19" s="265">
        <v>14.28534</v>
      </c>
      <c r="Y19" s="265">
        <v>44.601929999999996</v>
      </c>
      <c r="Z19" s="265">
        <v>66.49163999999999</v>
      </c>
      <c r="AA19" s="90">
        <f>SUM(W19:Z19)</f>
        <v>134.6283</v>
      </c>
      <c r="AB19" s="249">
        <f>AB8*AB20</f>
        <v>15.261493500000006</v>
      </c>
      <c r="AC19" s="267">
        <f>AC8*AC20</f>
        <v>23.570810999999999</v>
      </c>
      <c r="AD19" s="267">
        <f>AD8*AD20</f>
        <v>73.593184500000021</v>
      </c>
      <c r="AE19" s="273">
        <f>AE8*AE20</f>
        <v>109.71120599999999</v>
      </c>
      <c r="AF19" s="90">
        <f>SUM(AB19:AE19)</f>
        <v>222.13669500000003</v>
      </c>
      <c r="AG19" s="90">
        <f>AG8*AG20</f>
        <v>343.91904750000003</v>
      </c>
      <c r="AH19" s="90">
        <f>AH8*AH20</f>
        <v>497.18660827499997</v>
      </c>
      <c r="AI19" s="90">
        <f>AI8*AI20</f>
        <v>667.32001875000003</v>
      </c>
      <c r="AJ19" s="90">
        <f>AJ8*AJ20</f>
        <v>825.94576448999999</v>
      </c>
    </row>
    <row r="20" spans="1:38" s="144" customFormat="1" ht="12.75" customHeight="1" x14ac:dyDescent="0.2">
      <c r="A20" s="83" t="s">
        <v>40</v>
      </c>
      <c r="B20" s="84"/>
      <c r="C20" s="85">
        <f>C19/C8</f>
        <v>0.16</v>
      </c>
      <c r="D20" s="85">
        <f>D19/D8</f>
        <v>0.16</v>
      </c>
      <c r="E20" s="85">
        <f>E19/E8</f>
        <v>0.16</v>
      </c>
      <c r="F20" s="85">
        <f>F19/F8</f>
        <v>0.16</v>
      </c>
      <c r="G20" s="92">
        <f>G19/G$8</f>
        <v>0.16</v>
      </c>
      <c r="H20" s="85">
        <f>H19/H8</f>
        <v>0.15</v>
      </c>
      <c r="I20" s="85">
        <f>I19/I8</f>
        <v>0.15</v>
      </c>
      <c r="J20" s="85">
        <f>J19/J8</f>
        <v>0.15</v>
      </c>
      <c r="K20" s="85">
        <f>K19/K8</f>
        <v>0.15</v>
      </c>
      <c r="L20" s="92">
        <f>L19/L$8</f>
        <v>0.15</v>
      </c>
      <c r="M20" s="85">
        <f>M19/M8</f>
        <v>0.14000000000000001</v>
      </c>
      <c r="N20" s="85">
        <f>N19/N8</f>
        <v>0.14000000000000001</v>
      </c>
      <c r="O20" s="85">
        <f>O19/O8</f>
        <v>0.14000000000000001</v>
      </c>
      <c r="P20" s="85">
        <f>P19/P8</f>
        <v>0.14000000000000001</v>
      </c>
      <c r="Q20" s="92">
        <f>Q19/Q$8</f>
        <v>0.13999999999999999</v>
      </c>
      <c r="R20" s="85">
        <f>R19/R8</f>
        <v>0.13</v>
      </c>
      <c r="S20" s="85">
        <f>S19/S8</f>
        <v>0.13</v>
      </c>
      <c r="T20" s="85">
        <f>T19/T8</f>
        <v>0.13</v>
      </c>
      <c r="U20" s="85">
        <f>U19/U8</f>
        <v>0.13</v>
      </c>
      <c r="V20" s="92">
        <f>V19/V$8</f>
        <v>0.13</v>
      </c>
      <c r="W20" s="85">
        <f>W19/W8</f>
        <v>0.12000000000000001</v>
      </c>
      <c r="X20" s="85">
        <f>X19/X8</f>
        <v>0.12</v>
      </c>
      <c r="Y20" s="85">
        <f>Y19/Y8</f>
        <v>0.12</v>
      </c>
      <c r="Z20" s="85">
        <f>Z19/Z8</f>
        <v>0.11999999999999998</v>
      </c>
      <c r="AA20" s="92">
        <f>AA19/AA$8</f>
        <v>0.12000000000000001</v>
      </c>
      <c r="AB20" s="274">
        <v>0.11</v>
      </c>
      <c r="AC20" s="275">
        <v>0.11</v>
      </c>
      <c r="AD20" s="275">
        <v>0.11</v>
      </c>
      <c r="AE20" s="276">
        <v>0.11</v>
      </c>
      <c r="AF20" s="92">
        <f>AF19/AF$8</f>
        <v>0.11000000000000001</v>
      </c>
      <c r="AG20" s="277">
        <v>0.1</v>
      </c>
      <c r="AH20" s="277">
        <v>0.09</v>
      </c>
      <c r="AI20" s="277">
        <v>0.08</v>
      </c>
      <c r="AJ20" s="277">
        <v>7.0000000000000007E-2</v>
      </c>
    </row>
    <row r="21" spans="1:38" s="184" customFormat="1" ht="12.75" customHeight="1" x14ac:dyDescent="0.2">
      <c r="A21" s="88" t="s">
        <v>45</v>
      </c>
      <c r="B21" s="89"/>
      <c r="C21" s="265">
        <v>0.67499999999999993</v>
      </c>
      <c r="D21" s="265">
        <v>1.05</v>
      </c>
      <c r="E21" s="265">
        <v>3.2250000000000001</v>
      </c>
      <c r="F21" s="265">
        <v>4.8</v>
      </c>
      <c r="G21" s="90">
        <f>SUM(C21:F21)</f>
        <v>9.75</v>
      </c>
      <c r="H21" s="265">
        <v>1.3720000000000003</v>
      </c>
      <c r="I21" s="265">
        <v>2.1280000000000006</v>
      </c>
      <c r="J21" s="265">
        <v>6.580000000000001</v>
      </c>
      <c r="K21" s="265">
        <v>9.8000000000000007</v>
      </c>
      <c r="L21" s="90">
        <f>SUM(H21:K21)</f>
        <v>19.880000000000003</v>
      </c>
      <c r="M21" s="265">
        <v>2.6559000000000004</v>
      </c>
      <c r="N21" s="265">
        <v>4.1106000000000007</v>
      </c>
      <c r="O21" s="265">
        <v>12.772500000000001</v>
      </c>
      <c r="P21" s="265">
        <v>19.032</v>
      </c>
      <c r="Q21" s="90">
        <f>SUM(M21:P21)</f>
        <v>38.570999999999998</v>
      </c>
      <c r="R21" s="265">
        <v>4.8798000000000004</v>
      </c>
      <c r="S21" s="265">
        <v>7.5419999999999998</v>
      </c>
      <c r="T21" s="265">
        <v>23.509800000000002</v>
      </c>
      <c r="U21" s="265">
        <v>35.042399999999994</v>
      </c>
      <c r="V21" s="90">
        <f>SUM(R21:U21)</f>
        <v>70.97399999999999</v>
      </c>
      <c r="W21" s="265">
        <v>8.4786075000000007</v>
      </c>
      <c r="X21" s="265">
        <v>13.094894999999999</v>
      </c>
      <c r="Y21" s="265">
        <v>40.885102500000002</v>
      </c>
      <c r="Z21" s="265">
        <v>60.950669999999995</v>
      </c>
      <c r="AA21" s="90">
        <f>SUM(W21:Z21)</f>
        <v>123.40927500000001</v>
      </c>
      <c r="AB21" s="249">
        <f>AB8*AB22</f>
        <v>13.874085000000006</v>
      </c>
      <c r="AC21" s="267">
        <f>AC8*AC22</f>
        <v>21.42801</v>
      </c>
      <c r="AD21" s="267">
        <f>AD8*AD22</f>
        <v>66.902895000000015</v>
      </c>
      <c r="AE21" s="273">
        <f>AE8*AE22</f>
        <v>99.737459999999999</v>
      </c>
      <c r="AF21" s="90">
        <f>SUM(AB21:AE21)</f>
        <v>201.94245000000001</v>
      </c>
      <c r="AG21" s="90">
        <f>AG8*AG22</f>
        <v>309.52714275</v>
      </c>
      <c r="AH21" s="90">
        <f>AH8*AH22</f>
        <v>441.9436518</v>
      </c>
      <c r="AI21" s="90">
        <f>AI8*AI22</f>
        <v>583.90501640625007</v>
      </c>
      <c r="AJ21" s="90">
        <f>AJ8*AJ22</f>
        <v>707.95351241999992</v>
      </c>
    </row>
    <row r="22" spans="1:38" s="144" customFormat="1" ht="12.75" customHeight="1" x14ac:dyDescent="0.2">
      <c r="A22" s="83" t="s">
        <v>40</v>
      </c>
      <c r="B22" s="84"/>
      <c r="C22" s="85">
        <f>C21/C8</f>
        <v>0.15</v>
      </c>
      <c r="D22" s="85">
        <f>D21/D8</f>
        <v>0.15</v>
      </c>
      <c r="E22" s="85">
        <f>E21/E8</f>
        <v>0.15</v>
      </c>
      <c r="F22" s="85">
        <f>F21/F8</f>
        <v>0.15</v>
      </c>
      <c r="G22" s="92">
        <f>G21/G$8</f>
        <v>0.15</v>
      </c>
      <c r="H22" s="85">
        <f>H21/H8</f>
        <v>0.14000000000000001</v>
      </c>
      <c r="I22" s="85">
        <f>I21/I8</f>
        <v>0.14000000000000001</v>
      </c>
      <c r="J22" s="85">
        <f>J21/J8</f>
        <v>0.14000000000000001</v>
      </c>
      <c r="K22" s="85">
        <f>K21/K8</f>
        <v>0.14000000000000001</v>
      </c>
      <c r="L22" s="92">
        <f>L21/L$8</f>
        <v>0.14000000000000001</v>
      </c>
      <c r="M22" s="85">
        <f>M21/M8</f>
        <v>0.13</v>
      </c>
      <c r="N22" s="85">
        <f>N21/N8</f>
        <v>0.13</v>
      </c>
      <c r="O22" s="85">
        <f>O21/O8</f>
        <v>0.13</v>
      </c>
      <c r="P22" s="85">
        <f>P21/P8</f>
        <v>0.13</v>
      </c>
      <c r="Q22" s="92">
        <f>Q21/Q$8</f>
        <v>0.12999999999999998</v>
      </c>
      <c r="R22" s="85">
        <f>R21/R8</f>
        <v>0.12</v>
      </c>
      <c r="S22" s="85">
        <f>S21/S8</f>
        <v>0.12</v>
      </c>
      <c r="T22" s="85">
        <f>T21/T8</f>
        <v>0.12</v>
      </c>
      <c r="U22" s="85">
        <f>U21/U8</f>
        <v>0.11999999999999998</v>
      </c>
      <c r="V22" s="92">
        <f>V21/V$8</f>
        <v>0.11999999999999997</v>
      </c>
      <c r="W22" s="85">
        <f>W21/W8</f>
        <v>0.10999999999999999</v>
      </c>
      <c r="X22" s="85">
        <f>X21/X8</f>
        <v>0.11</v>
      </c>
      <c r="Y22" s="85">
        <f>Y21/Y8</f>
        <v>0.11</v>
      </c>
      <c r="Z22" s="85">
        <f>Z21/Z8</f>
        <v>0.11</v>
      </c>
      <c r="AA22" s="92">
        <f>AA21/AA$8</f>
        <v>0.11000000000000001</v>
      </c>
      <c r="AB22" s="274">
        <v>0.1</v>
      </c>
      <c r="AC22" s="275">
        <v>0.1</v>
      </c>
      <c r="AD22" s="275">
        <v>0.1</v>
      </c>
      <c r="AE22" s="276">
        <v>0.1</v>
      </c>
      <c r="AF22" s="92">
        <f>AF21/AF$8</f>
        <v>0.1</v>
      </c>
      <c r="AG22" s="277">
        <v>0.09</v>
      </c>
      <c r="AH22" s="277">
        <v>0.08</v>
      </c>
      <c r="AI22" s="277">
        <v>7.0000000000000007E-2</v>
      </c>
      <c r="AJ22" s="277">
        <v>0.06</v>
      </c>
    </row>
    <row r="23" spans="1:38" s="184" customFormat="1" ht="12.75" customHeight="1" x14ac:dyDescent="0.2">
      <c r="A23" s="88" t="s">
        <v>46</v>
      </c>
      <c r="B23" s="89"/>
      <c r="C23" s="265">
        <v>0.22500000000000001</v>
      </c>
      <c r="D23" s="265">
        <v>0.35000000000000003</v>
      </c>
      <c r="E23" s="265">
        <v>1.075</v>
      </c>
      <c r="F23" s="265">
        <v>1.6</v>
      </c>
      <c r="G23" s="90">
        <f>SUM(C23:F23)</f>
        <v>3.25</v>
      </c>
      <c r="H23" s="265">
        <v>0.49000000000000005</v>
      </c>
      <c r="I23" s="265">
        <v>0.76000000000000012</v>
      </c>
      <c r="J23" s="265">
        <v>2.35</v>
      </c>
      <c r="K23" s="265">
        <v>3.5</v>
      </c>
      <c r="L23" s="90">
        <f>SUM(H23:K23)</f>
        <v>7.1000000000000005</v>
      </c>
      <c r="M23" s="265">
        <v>1.0215000000000003</v>
      </c>
      <c r="N23" s="265">
        <v>1.5810000000000002</v>
      </c>
      <c r="O23" s="265">
        <v>4.9125000000000005</v>
      </c>
      <c r="P23" s="265">
        <v>7.32</v>
      </c>
      <c r="Q23" s="90">
        <f>SUM(M23:P23)</f>
        <v>14.835000000000001</v>
      </c>
      <c r="R23" s="265">
        <v>2.0332500000000002</v>
      </c>
      <c r="S23" s="265">
        <v>3.1425000000000001</v>
      </c>
      <c r="T23" s="265">
        <v>9.7957500000000017</v>
      </c>
      <c r="U23" s="265">
        <v>14.600999999999999</v>
      </c>
      <c r="V23" s="90">
        <f>SUM(R23:U23)</f>
        <v>29.572500000000002</v>
      </c>
      <c r="W23" s="265">
        <v>3.8539125000000007</v>
      </c>
      <c r="X23" s="265">
        <v>5.9522250000000003</v>
      </c>
      <c r="Y23" s="265">
        <v>18.584137500000001</v>
      </c>
      <c r="Z23" s="265">
        <v>27.70485</v>
      </c>
      <c r="AA23" s="90">
        <f>SUM(W23:Z23)</f>
        <v>56.095125000000003</v>
      </c>
      <c r="AB23" s="249">
        <f>AB8*AB24</f>
        <v>6.9370425000000031</v>
      </c>
      <c r="AC23" s="267">
        <f>AC8*AC24</f>
        <v>10.714005</v>
      </c>
      <c r="AD23" s="267">
        <f>AD8*AD24</f>
        <v>33.451447500000008</v>
      </c>
      <c r="AE23" s="273">
        <f>AE8*AE24</f>
        <v>49.868729999999999</v>
      </c>
      <c r="AF23" s="90">
        <f>SUM(AB23:AE23)</f>
        <v>100.971225</v>
      </c>
      <c r="AG23" s="90">
        <f>AG8*AG24</f>
        <v>171.95952375000002</v>
      </c>
      <c r="AH23" s="90">
        <f>AH8*AH24</f>
        <v>276.21478237500003</v>
      </c>
      <c r="AI23" s="90">
        <f>AI8*AI24</f>
        <v>417.07501171875003</v>
      </c>
      <c r="AJ23" s="90">
        <f>AJ8*AJ24</f>
        <v>589.96126034999998</v>
      </c>
    </row>
    <row r="24" spans="1:38" s="144" customFormat="1" ht="12.75" customHeight="1" x14ac:dyDescent="0.2">
      <c r="A24" s="83" t="s">
        <v>40</v>
      </c>
      <c r="B24" s="84"/>
      <c r="C24" s="85">
        <f t="shared" ref="C24:Y24" si="6">C23/C8</f>
        <v>0.05</v>
      </c>
      <c r="D24" s="85">
        <f t="shared" si="6"/>
        <v>0.05</v>
      </c>
      <c r="E24" s="85">
        <f t="shared" si="6"/>
        <v>4.9999999999999996E-2</v>
      </c>
      <c r="F24" s="85">
        <f t="shared" si="6"/>
        <v>0.05</v>
      </c>
      <c r="G24" s="92">
        <f>G23/G$8</f>
        <v>0.05</v>
      </c>
      <c r="H24" s="85">
        <f>H23/H8</f>
        <v>0.05</v>
      </c>
      <c r="I24" s="85">
        <f>I23/I8</f>
        <v>0.05</v>
      </c>
      <c r="J24" s="85">
        <f>J23/J8</f>
        <v>0.05</v>
      </c>
      <c r="K24" s="85">
        <f>K23/K8</f>
        <v>0.05</v>
      </c>
      <c r="L24" s="92">
        <f>L23/L$8</f>
        <v>0.05</v>
      </c>
      <c r="M24" s="85">
        <f t="shared" si="6"/>
        <v>5.000000000000001E-2</v>
      </c>
      <c r="N24" s="85">
        <f t="shared" si="6"/>
        <v>0.05</v>
      </c>
      <c r="O24" s="85">
        <f t="shared" si="6"/>
        <v>0.05</v>
      </c>
      <c r="P24" s="85">
        <f t="shared" si="6"/>
        <v>0.05</v>
      </c>
      <c r="Q24" s="92">
        <f>Q23/Q$8</f>
        <v>4.9999999999999996E-2</v>
      </c>
      <c r="R24" s="85">
        <f t="shared" si="6"/>
        <v>4.9999999999999996E-2</v>
      </c>
      <c r="S24" s="85">
        <f t="shared" si="6"/>
        <v>0.05</v>
      </c>
      <c r="T24" s="85">
        <f t="shared" si="6"/>
        <v>0.05</v>
      </c>
      <c r="U24" s="85">
        <f t="shared" si="6"/>
        <v>0.05</v>
      </c>
      <c r="V24" s="92">
        <f>V23/V$8</f>
        <v>4.9999999999999996E-2</v>
      </c>
      <c r="W24" s="85">
        <f t="shared" si="6"/>
        <v>0.05</v>
      </c>
      <c r="X24" s="85">
        <f t="shared" si="6"/>
        <v>0.05</v>
      </c>
      <c r="Y24" s="85">
        <f t="shared" si="6"/>
        <v>0.05</v>
      </c>
      <c r="Z24" s="85">
        <f>Z23/Z8</f>
        <v>0.05</v>
      </c>
      <c r="AA24" s="92">
        <f>AA23/AA$8</f>
        <v>5.000000000000001E-2</v>
      </c>
      <c r="AB24" s="274">
        <v>0.05</v>
      </c>
      <c r="AC24" s="275">
        <v>0.05</v>
      </c>
      <c r="AD24" s="275">
        <v>0.05</v>
      </c>
      <c r="AE24" s="276">
        <v>0.05</v>
      </c>
      <c r="AF24" s="92">
        <f>AF23/AF$8</f>
        <v>0.05</v>
      </c>
      <c r="AG24" s="277">
        <v>0.05</v>
      </c>
      <c r="AH24" s="277">
        <v>0.05</v>
      </c>
      <c r="AI24" s="277">
        <v>0.05</v>
      </c>
      <c r="AJ24" s="277">
        <v>0.05</v>
      </c>
      <c r="AL24" s="185"/>
    </row>
    <row r="25" spans="1:38" s="144" customFormat="1" ht="6" customHeight="1" x14ac:dyDescent="0.2">
      <c r="A25" s="83"/>
      <c r="B25" s="84"/>
      <c r="C25" s="85"/>
      <c r="D25" s="85"/>
      <c r="E25" s="85"/>
      <c r="F25" s="85"/>
      <c r="G25" s="86"/>
      <c r="H25" s="85"/>
      <c r="I25" s="85"/>
      <c r="J25" s="85"/>
      <c r="K25" s="85"/>
      <c r="L25" s="86"/>
      <c r="M25" s="85"/>
      <c r="N25" s="85"/>
      <c r="O25" s="85"/>
      <c r="P25" s="85"/>
      <c r="Q25" s="86"/>
      <c r="R25" s="85"/>
      <c r="S25" s="85"/>
      <c r="T25" s="85"/>
      <c r="U25" s="85"/>
      <c r="V25" s="86"/>
      <c r="W25" s="85"/>
      <c r="X25" s="85"/>
      <c r="Y25" s="85"/>
      <c r="Z25" s="85"/>
      <c r="AA25" s="86"/>
      <c r="AB25" s="275"/>
      <c r="AC25" s="275"/>
      <c r="AD25" s="275"/>
      <c r="AE25" s="275"/>
      <c r="AF25" s="86"/>
      <c r="AG25" s="277"/>
      <c r="AH25" s="277"/>
      <c r="AI25" s="277"/>
      <c r="AJ25" s="277"/>
      <c r="AL25" s="185"/>
    </row>
    <row r="26" spans="1:38" s="14" customFormat="1" ht="21" customHeight="1" thickBot="1" x14ac:dyDescent="0.25">
      <c r="A26" s="100" t="s">
        <v>47</v>
      </c>
      <c r="B26" s="101"/>
      <c r="C26" s="102">
        <f t="shared" ref="C26:AJ26" si="7">C12+C17+C19+C21+C23</f>
        <v>3.7349999999999999</v>
      </c>
      <c r="D26" s="102">
        <f t="shared" si="7"/>
        <v>5.81</v>
      </c>
      <c r="E26" s="102">
        <f t="shared" si="7"/>
        <v>17.844999999999999</v>
      </c>
      <c r="F26" s="102">
        <f t="shared" si="7"/>
        <v>26.560000000000002</v>
      </c>
      <c r="G26" s="103">
        <f t="shared" si="7"/>
        <v>53.95</v>
      </c>
      <c r="H26" s="102">
        <f t="shared" si="7"/>
        <v>7.6440000000000019</v>
      </c>
      <c r="I26" s="102">
        <f t="shared" si="7"/>
        <v>11.856000000000002</v>
      </c>
      <c r="J26" s="102">
        <f t="shared" si="7"/>
        <v>36.660000000000004</v>
      </c>
      <c r="K26" s="102">
        <f t="shared" si="7"/>
        <v>54.600000000000009</v>
      </c>
      <c r="L26" s="103">
        <f t="shared" si="7"/>
        <v>110.75999999999999</v>
      </c>
      <c r="M26" s="102">
        <f t="shared" si="7"/>
        <v>14.913900000000002</v>
      </c>
      <c r="N26" s="102">
        <f t="shared" si="7"/>
        <v>23.082600000000003</v>
      </c>
      <c r="O26" s="102">
        <f t="shared" si="7"/>
        <v>71.722499999999997</v>
      </c>
      <c r="P26" s="102">
        <f t="shared" si="7"/>
        <v>106.87200000000001</v>
      </c>
      <c r="Q26" s="103">
        <f>Q12+Q17+Q19+Q21+Q23</f>
        <v>216.59100000000001</v>
      </c>
      <c r="R26" s="102">
        <f t="shared" si="7"/>
        <v>27.652200000000001</v>
      </c>
      <c r="S26" s="102">
        <f t="shared" si="7"/>
        <v>42.738</v>
      </c>
      <c r="T26" s="102">
        <f t="shared" si="7"/>
        <v>133.22220000000002</v>
      </c>
      <c r="U26" s="102">
        <f t="shared" si="7"/>
        <v>198.57359999999997</v>
      </c>
      <c r="V26" s="103">
        <f>V12+V17+V19+V21+V23</f>
        <v>402.18599999999998</v>
      </c>
      <c r="W26" s="102">
        <f t="shared" si="7"/>
        <v>48.559297500000007</v>
      </c>
      <c r="X26" s="102">
        <f t="shared" si="7"/>
        <v>74.998034999999987</v>
      </c>
      <c r="Y26" s="102">
        <f t="shared" si="7"/>
        <v>234.16013250000003</v>
      </c>
      <c r="Z26" s="102">
        <f t="shared" si="7"/>
        <v>349.08110999999997</v>
      </c>
      <c r="AA26" s="103">
        <f t="shared" si="7"/>
        <v>706.79857500000003</v>
      </c>
      <c r="AB26" s="102">
        <f t="shared" si="7"/>
        <v>80.469693000000035</v>
      </c>
      <c r="AC26" s="102">
        <f t="shared" si="7"/>
        <v>124.28245800000001</v>
      </c>
      <c r="AD26" s="102">
        <f t="shared" si="7"/>
        <v>388.03679100000011</v>
      </c>
      <c r="AE26" s="102">
        <f t="shared" si="7"/>
        <v>578.47726799999998</v>
      </c>
      <c r="AF26" s="103">
        <f t="shared" si="7"/>
        <v>1171.26621</v>
      </c>
      <c r="AG26" s="103">
        <f t="shared" si="7"/>
        <v>1822.77095175</v>
      </c>
      <c r="AH26" s="103">
        <f t="shared" si="7"/>
        <v>2651.6619108000004</v>
      </c>
      <c r="AI26" s="103">
        <f t="shared" si="7"/>
        <v>3586.84510078125</v>
      </c>
      <c r="AJ26" s="103">
        <f t="shared" si="7"/>
        <v>4483.7055786599994</v>
      </c>
    </row>
    <row r="27" spans="1:38" s="144" customFormat="1" ht="12.75" customHeight="1" x14ac:dyDescent="0.2">
      <c r="A27" s="83" t="s">
        <v>40</v>
      </c>
      <c r="B27" s="84"/>
      <c r="C27" s="85">
        <f t="shared" ref="C27:I27" si="8">C26/C$8</f>
        <v>0.83</v>
      </c>
      <c r="D27" s="85">
        <f t="shared" si="8"/>
        <v>0.83</v>
      </c>
      <c r="E27" s="85">
        <f t="shared" si="8"/>
        <v>0.83</v>
      </c>
      <c r="F27" s="85">
        <f t="shared" si="8"/>
        <v>0.83000000000000007</v>
      </c>
      <c r="G27" s="92">
        <f t="shared" si="8"/>
        <v>0.83000000000000007</v>
      </c>
      <c r="H27" s="85">
        <f t="shared" si="8"/>
        <v>0.78000000000000014</v>
      </c>
      <c r="I27" s="85">
        <f t="shared" si="8"/>
        <v>0.78</v>
      </c>
      <c r="J27" s="85">
        <f>J26/J$8</f>
        <v>0.78</v>
      </c>
      <c r="K27" s="85">
        <f t="shared" ref="K27:AJ27" si="9">K26/K$8</f>
        <v>0.78000000000000014</v>
      </c>
      <c r="L27" s="92">
        <f t="shared" si="9"/>
        <v>0.77999999999999992</v>
      </c>
      <c r="M27" s="85">
        <f t="shared" si="9"/>
        <v>0.73</v>
      </c>
      <c r="N27" s="85">
        <f t="shared" si="9"/>
        <v>0.73000000000000009</v>
      </c>
      <c r="O27" s="85">
        <f t="shared" si="9"/>
        <v>0.73</v>
      </c>
      <c r="P27" s="85">
        <f t="shared" si="9"/>
        <v>0.73000000000000009</v>
      </c>
      <c r="Q27" s="92">
        <f t="shared" si="9"/>
        <v>0.72999999999999987</v>
      </c>
      <c r="R27" s="85">
        <f t="shared" si="9"/>
        <v>0.67999999999999994</v>
      </c>
      <c r="S27" s="85">
        <f t="shared" si="9"/>
        <v>0.67999999999999994</v>
      </c>
      <c r="T27" s="85">
        <f t="shared" si="9"/>
        <v>0.68</v>
      </c>
      <c r="U27" s="85">
        <f t="shared" si="9"/>
        <v>0.67999999999999994</v>
      </c>
      <c r="V27" s="92">
        <f t="shared" si="9"/>
        <v>0.67999999999999994</v>
      </c>
      <c r="W27" s="85">
        <f t="shared" si="9"/>
        <v>0.63</v>
      </c>
      <c r="X27" s="85">
        <f t="shared" si="9"/>
        <v>0.62999999999999989</v>
      </c>
      <c r="Y27" s="85">
        <f t="shared" si="9"/>
        <v>0.63000000000000012</v>
      </c>
      <c r="Z27" s="85">
        <f t="shared" si="9"/>
        <v>0.63</v>
      </c>
      <c r="AA27" s="92">
        <f t="shared" si="9"/>
        <v>0.63000000000000012</v>
      </c>
      <c r="AB27" s="85">
        <f t="shared" si="9"/>
        <v>0.58000000000000007</v>
      </c>
      <c r="AC27" s="85">
        <f t="shared" si="9"/>
        <v>0.57999999999999996</v>
      </c>
      <c r="AD27" s="85">
        <f t="shared" si="9"/>
        <v>0.58000000000000007</v>
      </c>
      <c r="AE27" s="85">
        <f t="shared" si="9"/>
        <v>0.58000000000000007</v>
      </c>
      <c r="AF27" s="92">
        <f t="shared" si="9"/>
        <v>0.57999999999999996</v>
      </c>
      <c r="AG27" s="92">
        <f t="shared" si="9"/>
        <v>0.53</v>
      </c>
      <c r="AH27" s="92">
        <f t="shared" si="9"/>
        <v>0.48000000000000009</v>
      </c>
      <c r="AI27" s="92">
        <f t="shared" si="9"/>
        <v>0.43</v>
      </c>
      <c r="AJ27" s="92">
        <f t="shared" si="9"/>
        <v>0.37999999999999995</v>
      </c>
    </row>
    <row r="28" spans="1:38" s="144" customFormat="1" ht="12.75" customHeight="1" thickBot="1" x14ac:dyDescent="0.25">
      <c r="A28" s="104" t="s">
        <v>48</v>
      </c>
      <c r="B28" s="105"/>
      <c r="C28" s="278"/>
      <c r="D28" s="278"/>
      <c r="E28" s="278"/>
      <c r="F28" s="278"/>
      <c r="G28" s="106"/>
      <c r="H28" s="278"/>
      <c r="I28" s="278"/>
      <c r="J28" s="278"/>
      <c r="K28" s="278"/>
      <c r="L28" s="106"/>
      <c r="M28" s="278"/>
      <c r="N28" s="278"/>
      <c r="O28" s="278"/>
      <c r="P28" s="278"/>
      <c r="Q28" s="106"/>
      <c r="R28" s="278"/>
      <c r="S28" s="278"/>
      <c r="T28" s="278"/>
      <c r="U28" s="278"/>
      <c r="V28" s="106"/>
      <c r="W28" s="278"/>
      <c r="X28" s="278"/>
      <c r="Y28" s="278"/>
      <c r="Z28" s="278"/>
      <c r="AA28" s="106"/>
      <c r="AB28" s="278">
        <f>AB26/W26-1</f>
        <v>0.65714285714285769</v>
      </c>
      <c r="AC28" s="278">
        <f>AC26/X26-1</f>
        <v>0.65714285714285747</v>
      </c>
      <c r="AD28" s="278">
        <f>AD26/Y26-1</f>
        <v>0.65714285714285747</v>
      </c>
      <c r="AE28" s="278">
        <f>AE26/Z26-1</f>
        <v>0.65714285714285725</v>
      </c>
      <c r="AF28" s="106">
        <f>AF26/AA26-1</f>
        <v>0.65714285714285703</v>
      </c>
      <c r="AG28" s="106">
        <f>AG26/AF26-1</f>
        <v>0.55623967991870948</v>
      </c>
      <c r="AH28" s="106">
        <f>AH26/AG26-1</f>
        <v>0.45474224737573388</v>
      </c>
      <c r="AI28" s="106">
        <f>AI26/AH26-1</f>
        <v>0.35267813976296347</v>
      </c>
      <c r="AJ28" s="106">
        <f>AJ26/AI26-1</f>
        <v>0.25004159719175068</v>
      </c>
    </row>
    <row r="29" spans="1:38" s="184" customFormat="1" ht="12.75" customHeight="1" x14ac:dyDescent="0.2">
      <c r="A29" s="107" t="s">
        <v>49</v>
      </c>
      <c r="B29" s="89"/>
      <c r="C29" s="108">
        <f t="shared" ref="C29:AI29" si="10">C8-C26</f>
        <v>0.76500000000000012</v>
      </c>
      <c r="D29" s="108">
        <f t="shared" si="10"/>
        <v>1.1900000000000004</v>
      </c>
      <c r="E29" s="108">
        <f t="shared" si="10"/>
        <v>3.6550000000000011</v>
      </c>
      <c r="F29" s="108">
        <f t="shared" si="10"/>
        <v>5.4399999999999977</v>
      </c>
      <c r="G29" s="109">
        <f t="shared" si="10"/>
        <v>11.049999999999997</v>
      </c>
      <c r="H29" s="110">
        <f t="shared" si="10"/>
        <v>2.1559999999999988</v>
      </c>
      <c r="I29" s="108">
        <f t="shared" si="10"/>
        <v>3.3439999999999994</v>
      </c>
      <c r="J29" s="108">
        <f t="shared" si="10"/>
        <v>10.339999999999996</v>
      </c>
      <c r="K29" s="108">
        <f t="shared" si="10"/>
        <v>15.399999999999991</v>
      </c>
      <c r="L29" s="109">
        <f t="shared" si="10"/>
        <v>31.240000000000009</v>
      </c>
      <c r="M29" s="108">
        <f t="shared" si="10"/>
        <v>5.5161000000000016</v>
      </c>
      <c r="N29" s="108">
        <f t="shared" si="10"/>
        <v>8.5373999999999981</v>
      </c>
      <c r="O29" s="108">
        <f t="shared" si="10"/>
        <v>26.527500000000003</v>
      </c>
      <c r="P29" s="108">
        <f t="shared" si="10"/>
        <v>39.527999999999992</v>
      </c>
      <c r="Q29" s="109">
        <f t="shared" si="10"/>
        <v>80.109000000000037</v>
      </c>
      <c r="R29" s="108">
        <f t="shared" si="10"/>
        <v>13.012800000000006</v>
      </c>
      <c r="S29" s="108">
        <f t="shared" si="10"/>
        <v>20.112000000000002</v>
      </c>
      <c r="T29" s="108">
        <f t="shared" si="10"/>
        <v>62.692800000000005</v>
      </c>
      <c r="U29" s="108">
        <f t="shared" si="10"/>
        <v>93.446400000000011</v>
      </c>
      <c r="V29" s="109">
        <f t="shared" si="10"/>
        <v>189.26400000000007</v>
      </c>
      <c r="W29" s="108">
        <f t="shared" si="10"/>
        <v>28.518952500000005</v>
      </c>
      <c r="X29" s="108">
        <f t="shared" si="10"/>
        <v>44.046465000000012</v>
      </c>
      <c r="Y29" s="108">
        <f t="shared" si="10"/>
        <v>137.52261749999997</v>
      </c>
      <c r="Z29" s="108">
        <f t="shared" si="10"/>
        <v>205.01589000000001</v>
      </c>
      <c r="AA29" s="109">
        <f t="shared" si="10"/>
        <v>415.10392499999989</v>
      </c>
      <c r="AB29" s="108">
        <f t="shared" si="10"/>
        <v>58.271157000000017</v>
      </c>
      <c r="AC29" s="108">
        <f t="shared" si="10"/>
        <v>89.997641999999999</v>
      </c>
      <c r="AD29" s="108">
        <f t="shared" si="10"/>
        <v>280.99215900000002</v>
      </c>
      <c r="AE29" s="108">
        <f t="shared" si="10"/>
        <v>418.89733199999989</v>
      </c>
      <c r="AF29" s="109">
        <f t="shared" si="10"/>
        <v>848.15829000000008</v>
      </c>
      <c r="AG29" s="109">
        <f t="shared" si="10"/>
        <v>1616.4195232499999</v>
      </c>
      <c r="AH29" s="109">
        <f t="shared" si="10"/>
        <v>2872.6337366999996</v>
      </c>
      <c r="AI29" s="109">
        <f t="shared" si="10"/>
        <v>4754.6551335937502</v>
      </c>
      <c r="AJ29" s="109">
        <f>AJ8-AJ26</f>
        <v>7315.5196283400001</v>
      </c>
    </row>
    <row r="30" spans="1:38" s="144" customFormat="1" ht="12.75" customHeight="1" x14ac:dyDescent="0.2">
      <c r="A30" s="83" t="s">
        <v>40</v>
      </c>
      <c r="B30" s="84"/>
      <c r="C30" s="85">
        <f t="shared" ref="C30:AJ30" si="11">C29/C$8</f>
        <v>0.17000000000000004</v>
      </c>
      <c r="D30" s="85">
        <f t="shared" si="11"/>
        <v>0.17000000000000007</v>
      </c>
      <c r="E30" s="85">
        <f t="shared" si="11"/>
        <v>0.17000000000000004</v>
      </c>
      <c r="F30" s="85">
        <f t="shared" si="11"/>
        <v>0.16999999999999993</v>
      </c>
      <c r="G30" s="86">
        <f t="shared" si="11"/>
        <v>0.16999999999999996</v>
      </c>
      <c r="H30" s="87">
        <f t="shared" si="11"/>
        <v>0.21999999999999986</v>
      </c>
      <c r="I30" s="85">
        <f t="shared" si="11"/>
        <v>0.21999999999999995</v>
      </c>
      <c r="J30" s="85">
        <f t="shared" si="11"/>
        <v>0.21999999999999992</v>
      </c>
      <c r="K30" s="85">
        <f t="shared" si="11"/>
        <v>0.21999999999999989</v>
      </c>
      <c r="L30" s="86">
        <f t="shared" si="11"/>
        <v>0.22000000000000006</v>
      </c>
      <c r="M30" s="85">
        <f t="shared" si="11"/>
        <v>0.27</v>
      </c>
      <c r="N30" s="85">
        <f t="shared" si="11"/>
        <v>0.26999999999999991</v>
      </c>
      <c r="O30" s="85">
        <f t="shared" si="11"/>
        <v>0.27</v>
      </c>
      <c r="P30" s="85">
        <f t="shared" si="11"/>
        <v>0.26999999999999991</v>
      </c>
      <c r="Q30" s="86">
        <f t="shared" si="11"/>
        <v>0.27000000000000007</v>
      </c>
      <c r="R30" s="85">
        <f t="shared" si="11"/>
        <v>0.32000000000000012</v>
      </c>
      <c r="S30" s="85">
        <f t="shared" si="11"/>
        <v>0.32</v>
      </c>
      <c r="T30" s="85">
        <f t="shared" si="11"/>
        <v>0.32</v>
      </c>
      <c r="U30" s="85">
        <f t="shared" si="11"/>
        <v>0.32000000000000006</v>
      </c>
      <c r="V30" s="86">
        <f t="shared" si="11"/>
        <v>0.32000000000000006</v>
      </c>
      <c r="W30" s="85">
        <f t="shared" si="11"/>
        <v>0.37</v>
      </c>
      <c r="X30" s="85">
        <f t="shared" si="11"/>
        <v>0.37000000000000011</v>
      </c>
      <c r="Y30" s="85">
        <f t="shared" si="11"/>
        <v>0.36999999999999994</v>
      </c>
      <c r="Z30" s="85">
        <f t="shared" si="11"/>
        <v>0.37000000000000005</v>
      </c>
      <c r="AA30" s="86">
        <f t="shared" si="11"/>
        <v>0.36999999999999994</v>
      </c>
      <c r="AB30" s="85">
        <f t="shared" si="11"/>
        <v>0.42</v>
      </c>
      <c r="AC30" s="85">
        <f t="shared" si="11"/>
        <v>0.42</v>
      </c>
      <c r="AD30" s="85">
        <f t="shared" si="11"/>
        <v>0.41999999999999993</v>
      </c>
      <c r="AE30" s="85">
        <f t="shared" si="11"/>
        <v>0.41999999999999993</v>
      </c>
      <c r="AF30" s="86">
        <f t="shared" si="11"/>
        <v>0.42000000000000004</v>
      </c>
      <c r="AG30" s="86">
        <f t="shared" si="11"/>
        <v>0.47</v>
      </c>
      <c r="AH30" s="86">
        <f t="shared" si="11"/>
        <v>0.51999999999999991</v>
      </c>
      <c r="AI30" s="86">
        <f t="shared" si="11"/>
        <v>0.56999999999999995</v>
      </c>
      <c r="AJ30" s="86">
        <f t="shared" si="11"/>
        <v>0.62</v>
      </c>
    </row>
    <row r="31" spans="1:38" s="184" customFormat="1" ht="12.75" customHeight="1" x14ac:dyDescent="0.2">
      <c r="A31" s="111" t="s">
        <v>50</v>
      </c>
      <c r="B31" s="112"/>
      <c r="C31" s="279">
        <f t="shared" ref="C31:AF31" si="12">C29+C23</f>
        <v>0.9900000000000001</v>
      </c>
      <c r="D31" s="279">
        <f t="shared" si="12"/>
        <v>1.5400000000000005</v>
      </c>
      <c r="E31" s="279">
        <f t="shared" si="12"/>
        <v>4.7300000000000013</v>
      </c>
      <c r="F31" s="279">
        <f t="shared" si="12"/>
        <v>7.0399999999999974</v>
      </c>
      <c r="G31" s="113">
        <f>G29+G23</f>
        <v>14.299999999999997</v>
      </c>
      <c r="H31" s="279">
        <f>H29+H23</f>
        <v>2.645999999999999</v>
      </c>
      <c r="I31" s="279">
        <f>I29+I23</f>
        <v>4.1039999999999992</v>
      </c>
      <c r="J31" s="279">
        <f>J29+J23</f>
        <v>12.689999999999996</v>
      </c>
      <c r="K31" s="279">
        <f>K29+K23</f>
        <v>18.899999999999991</v>
      </c>
      <c r="L31" s="113">
        <f t="shared" si="12"/>
        <v>38.340000000000011</v>
      </c>
      <c r="M31" s="279">
        <f t="shared" si="12"/>
        <v>6.5376000000000021</v>
      </c>
      <c r="N31" s="279">
        <f t="shared" si="12"/>
        <v>10.118399999999998</v>
      </c>
      <c r="O31" s="279">
        <f t="shared" si="12"/>
        <v>31.440000000000005</v>
      </c>
      <c r="P31" s="279">
        <f t="shared" si="12"/>
        <v>46.847999999999992</v>
      </c>
      <c r="Q31" s="113">
        <f t="shared" si="12"/>
        <v>94.944000000000045</v>
      </c>
      <c r="R31" s="279">
        <f t="shared" si="12"/>
        <v>15.046050000000006</v>
      </c>
      <c r="S31" s="279">
        <f t="shared" si="12"/>
        <v>23.2545</v>
      </c>
      <c r="T31" s="279">
        <f t="shared" si="12"/>
        <v>72.488550000000004</v>
      </c>
      <c r="U31" s="279">
        <f t="shared" si="12"/>
        <v>108.04740000000001</v>
      </c>
      <c r="V31" s="113">
        <f t="shared" si="12"/>
        <v>218.83650000000006</v>
      </c>
      <c r="W31" s="279">
        <f t="shared" si="12"/>
        <v>32.372865000000004</v>
      </c>
      <c r="X31" s="279">
        <f t="shared" si="12"/>
        <v>49.998690000000011</v>
      </c>
      <c r="Y31" s="279">
        <f t="shared" si="12"/>
        <v>156.10675499999996</v>
      </c>
      <c r="Z31" s="279">
        <f t="shared" si="12"/>
        <v>232.72074000000001</v>
      </c>
      <c r="AA31" s="113">
        <f t="shared" si="12"/>
        <v>471.19904999999989</v>
      </c>
      <c r="AB31" s="279">
        <f t="shared" si="12"/>
        <v>65.208199500000021</v>
      </c>
      <c r="AC31" s="279">
        <f t="shared" si="12"/>
        <v>100.711647</v>
      </c>
      <c r="AD31" s="279">
        <f t="shared" si="12"/>
        <v>314.44360650000004</v>
      </c>
      <c r="AE31" s="279">
        <f t="shared" si="12"/>
        <v>468.76606199999992</v>
      </c>
      <c r="AF31" s="113">
        <f t="shared" si="12"/>
        <v>949.12951500000008</v>
      </c>
      <c r="AG31" s="113">
        <f>AG29+AG23</f>
        <v>1788.3790469999999</v>
      </c>
      <c r="AH31" s="113">
        <f>AH29+AH23</f>
        <v>3148.8485190749998</v>
      </c>
      <c r="AI31" s="113">
        <f>AI29+AI23</f>
        <v>5171.7301453125001</v>
      </c>
      <c r="AJ31" s="113">
        <f>AJ29+AJ23</f>
        <v>7905.48088869</v>
      </c>
    </row>
    <row r="32" spans="1:38" s="144" customFormat="1" ht="12.75" customHeight="1" x14ac:dyDescent="0.2">
      <c r="A32" s="83" t="s">
        <v>40</v>
      </c>
      <c r="B32" s="84"/>
      <c r="C32" s="85">
        <f t="shared" ref="C32:AJ32" si="13">C31/C$8</f>
        <v>0.22000000000000003</v>
      </c>
      <c r="D32" s="85">
        <f t="shared" si="13"/>
        <v>0.22000000000000006</v>
      </c>
      <c r="E32" s="85">
        <f t="shared" si="13"/>
        <v>0.22000000000000006</v>
      </c>
      <c r="F32" s="98">
        <f t="shared" si="13"/>
        <v>0.21999999999999992</v>
      </c>
      <c r="G32" s="86">
        <f t="shared" si="13"/>
        <v>0.21999999999999995</v>
      </c>
      <c r="H32" s="87">
        <f t="shared" si="13"/>
        <v>0.26999999999999991</v>
      </c>
      <c r="I32" s="85">
        <f t="shared" si="13"/>
        <v>0.26999999999999991</v>
      </c>
      <c r="J32" s="85">
        <f t="shared" si="13"/>
        <v>0.26999999999999991</v>
      </c>
      <c r="K32" s="85">
        <f t="shared" si="13"/>
        <v>0.26999999999999985</v>
      </c>
      <c r="L32" s="86">
        <f t="shared" si="13"/>
        <v>0.27000000000000007</v>
      </c>
      <c r="M32" s="85">
        <f t="shared" si="13"/>
        <v>0.32000000000000006</v>
      </c>
      <c r="N32" s="85">
        <f t="shared" si="13"/>
        <v>0.3199999999999999</v>
      </c>
      <c r="O32" s="85">
        <f t="shared" si="13"/>
        <v>0.32000000000000006</v>
      </c>
      <c r="P32" s="85">
        <f t="shared" si="13"/>
        <v>0.31999999999999995</v>
      </c>
      <c r="Q32" s="86">
        <f t="shared" si="13"/>
        <v>0.32000000000000012</v>
      </c>
      <c r="R32" s="85">
        <f t="shared" si="13"/>
        <v>0.37000000000000011</v>
      </c>
      <c r="S32" s="85">
        <f t="shared" si="13"/>
        <v>0.37</v>
      </c>
      <c r="T32" s="85">
        <f t="shared" si="13"/>
        <v>0.37</v>
      </c>
      <c r="U32" s="85">
        <f t="shared" si="13"/>
        <v>0.37000000000000005</v>
      </c>
      <c r="V32" s="86">
        <f t="shared" si="13"/>
        <v>0.37000000000000005</v>
      </c>
      <c r="W32" s="85">
        <f t="shared" si="13"/>
        <v>0.42</v>
      </c>
      <c r="X32" s="85">
        <f t="shared" si="13"/>
        <v>0.4200000000000001</v>
      </c>
      <c r="Y32" s="85">
        <f t="shared" si="13"/>
        <v>0.41999999999999993</v>
      </c>
      <c r="Z32" s="85">
        <f t="shared" si="13"/>
        <v>0.42000000000000004</v>
      </c>
      <c r="AA32" s="86">
        <f t="shared" si="13"/>
        <v>0.41999999999999993</v>
      </c>
      <c r="AB32" s="85">
        <f t="shared" si="13"/>
        <v>0.47</v>
      </c>
      <c r="AC32" s="85">
        <f t="shared" si="13"/>
        <v>0.47</v>
      </c>
      <c r="AD32" s="85">
        <f t="shared" si="13"/>
        <v>0.47</v>
      </c>
      <c r="AE32" s="85">
        <f t="shared" si="13"/>
        <v>0.47</v>
      </c>
      <c r="AF32" s="86">
        <f t="shared" si="13"/>
        <v>0.47000000000000003</v>
      </c>
      <c r="AG32" s="86">
        <f t="shared" si="13"/>
        <v>0.52</v>
      </c>
      <c r="AH32" s="86">
        <f t="shared" si="13"/>
        <v>0.56999999999999995</v>
      </c>
      <c r="AI32" s="86">
        <f t="shared" si="13"/>
        <v>0.62</v>
      </c>
      <c r="AJ32" s="86">
        <f t="shared" si="13"/>
        <v>0.67</v>
      </c>
    </row>
    <row r="33" spans="1:38" s="184" customFormat="1" ht="12.75" customHeight="1" x14ac:dyDescent="0.2">
      <c r="A33" s="88" t="s">
        <v>80</v>
      </c>
      <c r="B33" s="89"/>
      <c r="C33" s="265">
        <v>1.284875</v>
      </c>
      <c r="D33" s="265">
        <v>1.1429999999999998</v>
      </c>
      <c r="E33" s="265">
        <v>1.1429999999999998</v>
      </c>
      <c r="F33" s="265">
        <v>1.3041749999999999</v>
      </c>
      <c r="G33" s="114">
        <f>SUM(C33:F33)</f>
        <v>4.8750499999999999</v>
      </c>
      <c r="H33" s="265">
        <v>0.875</v>
      </c>
      <c r="I33" s="265">
        <v>0.875</v>
      </c>
      <c r="J33" s="265">
        <v>0.875</v>
      </c>
      <c r="K33" s="265">
        <v>0.875</v>
      </c>
      <c r="L33" s="114">
        <f>SUM(H33:K33)</f>
        <v>3.5</v>
      </c>
      <c r="M33" s="265">
        <v>0.875</v>
      </c>
      <c r="N33" s="265">
        <v>0.875</v>
      </c>
      <c r="O33" s="265">
        <v>0.875</v>
      </c>
      <c r="P33" s="265">
        <v>0.875</v>
      </c>
      <c r="Q33" s="114">
        <f>SUM(M33:P33)</f>
        <v>3.5</v>
      </c>
      <c r="R33" s="265">
        <v>0.875</v>
      </c>
      <c r="S33" s="265">
        <v>0.875</v>
      </c>
      <c r="T33" s="265">
        <v>0.875</v>
      </c>
      <c r="U33" s="265">
        <v>0.875</v>
      </c>
      <c r="V33" s="90">
        <f>SUM(R33:U33)</f>
        <v>3.5</v>
      </c>
      <c r="W33" s="265">
        <v>0.875</v>
      </c>
      <c r="X33" s="265">
        <v>0.875</v>
      </c>
      <c r="Y33" s="265">
        <v>0.875</v>
      </c>
      <c r="Z33" s="265">
        <v>0.875</v>
      </c>
      <c r="AA33" s="90">
        <f>SUM(W33:Z33)</f>
        <v>3.5</v>
      </c>
      <c r="AB33" s="265">
        <v>0.875</v>
      </c>
      <c r="AC33" s="265">
        <v>0.875</v>
      </c>
      <c r="AD33" s="265">
        <v>0.875</v>
      </c>
      <c r="AE33" s="265">
        <v>0.875</v>
      </c>
      <c r="AF33" s="90">
        <f>SUM(AB33:AE33)</f>
        <v>3.5</v>
      </c>
      <c r="AG33" s="244">
        <v>3.5</v>
      </c>
      <c r="AH33" s="244">
        <v>3.5</v>
      </c>
      <c r="AI33" s="244">
        <v>3.5</v>
      </c>
      <c r="AJ33" s="244">
        <v>3.5</v>
      </c>
    </row>
    <row r="34" spans="1:38" s="144" customFormat="1" ht="12.75" customHeight="1" x14ac:dyDescent="0.2">
      <c r="A34" s="83" t="s">
        <v>40</v>
      </c>
      <c r="B34" s="84"/>
      <c r="C34" s="85">
        <f t="shared" ref="C34:AJ34" si="14">C33/C$8</f>
        <v>0.28552777777777777</v>
      </c>
      <c r="D34" s="85">
        <f t="shared" si="14"/>
        <v>0.16328571428571426</v>
      </c>
      <c r="E34" s="85">
        <f t="shared" si="14"/>
        <v>5.3162790697674406E-2</v>
      </c>
      <c r="F34" s="98">
        <f t="shared" si="14"/>
        <v>4.0755468749999996E-2</v>
      </c>
      <c r="G34" s="86">
        <f t="shared" si="14"/>
        <v>7.5000769230769232E-2</v>
      </c>
      <c r="H34" s="87">
        <f t="shared" si="14"/>
        <v>8.9285714285714274E-2</v>
      </c>
      <c r="I34" s="85">
        <f t="shared" si="14"/>
        <v>5.7565789473684209E-2</v>
      </c>
      <c r="J34" s="85">
        <f t="shared" si="14"/>
        <v>1.8617021276595744E-2</v>
      </c>
      <c r="K34" s="85">
        <f t="shared" si="14"/>
        <v>1.2500000000000001E-2</v>
      </c>
      <c r="L34" s="86">
        <f t="shared" si="14"/>
        <v>2.464788732394366E-2</v>
      </c>
      <c r="M34" s="85">
        <f t="shared" si="14"/>
        <v>4.2829172785119912E-2</v>
      </c>
      <c r="N34" s="85">
        <f t="shared" si="14"/>
        <v>2.767235926628716E-2</v>
      </c>
      <c r="O34" s="85">
        <f t="shared" si="14"/>
        <v>8.9058524173027988E-3</v>
      </c>
      <c r="P34" s="85">
        <f t="shared" si="14"/>
        <v>5.9767759562841527E-3</v>
      </c>
      <c r="Q34" s="86">
        <f t="shared" si="14"/>
        <v>1.1796427367711491E-2</v>
      </c>
      <c r="R34" s="85">
        <f t="shared" si="14"/>
        <v>2.1517275298167955E-2</v>
      </c>
      <c r="S34" s="85">
        <f t="shared" si="14"/>
        <v>1.3922036595067621E-2</v>
      </c>
      <c r="T34" s="85">
        <f t="shared" si="14"/>
        <v>4.4662225965342106E-3</v>
      </c>
      <c r="U34" s="85">
        <f t="shared" si="14"/>
        <v>2.9963701116361894E-3</v>
      </c>
      <c r="V34" s="86">
        <f t="shared" si="14"/>
        <v>5.9176599881646799E-3</v>
      </c>
      <c r="W34" s="85">
        <f t="shared" si="14"/>
        <v>1.1352099976322761E-2</v>
      </c>
      <c r="X34" s="85">
        <f t="shared" si="14"/>
        <v>7.3501925750454663E-3</v>
      </c>
      <c r="Y34" s="85">
        <f t="shared" si="14"/>
        <v>2.3541582169202095E-3</v>
      </c>
      <c r="Z34" s="85">
        <f t="shared" si="14"/>
        <v>1.5791458896186048E-3</v>
      </c>
      <c r="AA34" s="86">
        <f t="shared" si="14"/>
        <v>3.1197006870026587E-3</v>
      </c>
      <c r="AB34" s="85">
        <f t="shared" si="14"/>
        <v>6.3067222090681992E-3</v>
      </c>
      <c r="AC34" s="85">
        <f t="shared" si="14"/>
        <v>4.0834403194697031E-3</v>
      </c>
      <c r="AD34" s="85">
        <f t="shared" si="14"/>
        <v>1.3078656760667829E-3</v>
      </c>
      <c r="AE34" s="85">
        <f t="shared" si="14"/>
        <v>8.7730327201033609E-4</v>
      </c>
      <c r="AF34" s="92">
        <f t="shared" si="14"/>
        <v>1.7331670483348102E-3</v>
      </c>
      <c r="AG34" s="86">
        <f t="shared" si="14"/>
        <v>1.0176813483992915E-3</v>
      </c>
      <c r="AH34" s="86">
        <f t="shared" si="14"/>
        <v>6.3356493267769114E-4</v>
      </c>
      <c r="AI34" s="86">
        <f t="shared" si="14"/>
        <v>4.1958879118370523E-4</v>
      </c>
      <c r="AJ34" s="86">
        <f t="shared" si="14"/>
        <v>2.9662964631979333E-4</v>
      </c>
    </row>
    <row r="35" spans="1:38" s="186" customFormat="1" ht="12.75" customHeight="1" thickBot="1" x14ac:dyDescent="0.25">
      <c r="A35" s="115" t="s">
        <v>67</v>
      </c>
      <c r="B35" s="116"/>
      <c r="C35" s="117">
        <f t="shared" ref="C35:F35" si="15">C29-C33</f>
        <v>-0.51987499999999986</v>
      </c>
      <c r="D35" s="117">
        <f t="shared" si="15"/>
        <v>4.7000000000000597E-2</v>
      </c>
      <c r="E35" s="117">
        <f t="shared" si="15"/>
        <v>2.5120000000000013</v>
      </c>
      <c r="F35" s="118">
        <f t="shared" si="15"/>
        <v>4.1358249999999979</v>
      </c>
      <c r="G35" s="119">
        <f>G29-G33</f>
        <v>6.1749499999999973</v>
      </c>
      <c r="H35" s="120">
        <f t="shared" ref="H35:AJ35" si="16">H29-H33</f>
        <v>1.2809999999999988</v>
      </c>
      <c r="I35" s="117">
        <f t="shared" si="16"/>
        <v>2.4689999999999994</v>
      </c>
      <c r="J35" s="117">
        <f t="shared" si="16"/>
        <v>9.4649999999999963</v>
      </c>
      <c r="K35" s="117">
        <f t="shared" si="16"/>
        <v>14.524999999999991</v>
      </c>
      <c r="L35" s="121">
        <f t="shared" si="16"/>
        <v>27.740000000000009</v>
      </c>
      <c r="M35" s="117">
        <f t="shared" si="16"/>
        <v>4.6411000000000016</v>
      </c>
      <c r="N35" s="117">
        <f t="shared" si="16"/>
        <v>7.6623999999999981</v>
      </c>
      <c r="O35" s="117">
        <f t="shared" si="16"/>
        <v>25.652500000000003</v>
      </c>
      <c r="P35" s="117">
        <f t="shared" si="16"/>
        <v>38.652999999999992</v>
      </c>
      <c r="Q35" s="119">
        <f t="shared" si="16"/>
        <v>76.609000000000037</v>
      </c>
      <c r="R35" s="117">
        <f t="shared" si="16"/>
        <v>12.137800000000006</v>
      </c>
      <c r="S35" s="117">
        <f t="shared" si="16"/>
        <v>19.237000000000002</v>
      </c>
      <c r="T35" s="117">
        <f t="shared" si="16"/>
        <v>61.817800000000005</v>
      </c>
      <c r="U35" s="117">
        <f t="shared" si="16"/>
        <v>92.571400000000011</v>
      </c>
      <c r="V35" s="119">
        <f t="shared" si="16"/>
        <v>185.76400000000007</v>
      </c>
      <c r="W35" s="117">
        <f t="shared" si="16"/>
        <v>27.643952500000005</v>
      </c>
      <c r="X35" s="117">
        <f t="shared" si="16"/>
        <v>43.171465000000012</v>
      </c>
      <c r="Y35" s="117">
        <f t="shared" si="16"/>
        <v>136.64761749999997</v>
      </c>
      <c r="Z35" s="117">
        <f t="shared" si="16"/>
        <v>204.14089000000001</v>
      </c>
      <c r="AA35" s="119">
        <f t="shared" si="16"/>
        <v>411.60392499999989</v>
      </c>
      <c r="AB35" s="117">
        <f t="shared" si="16"/>
        <v>57.396157000000017</v>
      </c>
      <c r="AC35" s="117">
        <f t="shared" si="16"/>
        <v>89.122641999999999</v>
      </c>
      <c r="AD35" s="117">
        <f t="shared" si="16"/>
        <v>280.11715900000002</v>
      </c>
      <c r="AE35" s="117">
        <f t="shared" si="16"/>
        <v>418.02233199999989</v>
      </c>
      <c r="AF35" s="119">
        <f t="shared" si="16"/>
        <v>844.65829000000008</v>
      </c>
      <c r="AG35" s="119">
        <f t="shared" si="16"/>
        <v>1612.9195232499999</v>
      </c>
      <c r="AH35" s="119">
        <f t="shared" si="16"/>
        <v>2869.1337366999996</v>
      </c>
      <c r="AI35" s="119">
        <f t="shared" si="16"/>
        <v>4751.1551335937502</v>
      </c>
      <c r="AJ35" s="119">
        <f t="shared" si="16"/>
        <v>7312.0196283400001</v>
      </c>
    </row>
    <row r="36" spans="1:38" s="144" customFormat="1" ht="12.75" customHeight="1" x14ac:dyDescent="0.2">
      <c r="A36" s="83" t="s">
        <v>40</v>
      </c>
      <c r="B36" s="84"/>
      <c r="C36" s="85">
        <f t="shared" ref="C36:AJ36" si="17">C35/C$8</f>
        <v>-0.11552777777777774</v>
      </c>
      <c r="D36" s="85">
        <f t="shared" si="17"/>
        <v>6.7142857142857993E-3</v>
      </c>
      <c r="E36" s="85">
        <f t="shared" si="17"/>
        <v>0.11683720930232565</v>
      </c>
      <c r="F36" s="98">
        <f t="shared" si="17"/>
        <v>0.12924453124999993</v>
      </c>
      <c r="G36" s="86">
        <f t="shared" si="17"/>
        <v>9.4999230769230725E-2</v>
      </c>
      <c r="H36" s="87">
        <f t="shared" si="17"/>
        <v>0.13071428571428559</v>
      </c>
      <c r="I36" s="85">
        <f t="shared" si="17"/>
        <v>0.16243421052631574</v>
      </c>
      <c r="J36" s="85">
        <f t="shared" si="17"/>
        <v>0.20138297872340419</v>
      </c>
      <c r="K36" s="85">
        <f t="shared" si="17"/>
        <v>0.20749999999999988</v>
      </c>
      <c r="L36" s="86">
        <f t="shared" si="17"/>
        <v>0.1953521126760564</v>
      </c>
      <c r="M36" s="85">
        <f t="shared" si="17"/>
        <v>0.22717082721488011</v>
      </c>
      <c r="N36" s="85">
        <f t="shared" si="17"/>
        <v>0.24232764073371277</v>
      </c>
      <c r="O36" s="85">
        <f t="shared" si="17"/>
        <v>0.26109414758269722</v>
      </c>
      <c r="P36" s="85">
        <f t="shared" si="17"/>
        <v>0.26402322404371575</v>
      </c>
      <c r="Q36" s="86">
        <f t="shared" si="17"/>
        <v>0.2582035726322886</v>
      </c>
      <c r="R36" s="85">
        <f t="shared" si="17"/>
        <v>0.29848272470183213</v>
      </c>
      <c r="S36" s="85">
        <f t="shared" si="17"/>
        <v>0.30607796340493243</v>
      </c>
      <c r="T36" s="85">
        <f t="shared" si="17"/>
        <v>0.31553377740346578</v>
      </c>
      <c r="U36" s="85">
        <f t="shared" si="17"/>
        <v>0.31700362988836389</v>
      </c>
      <c r="V36" s="86">
        <f t="shared" si="17"/>
        <v>0.31408234001183538</v>
      </c>
      <c r="W36" s="85">
        <f t="shared" si="17"/>
        <v>0.35864790002367725</v>
      </c>
      <c r="X36" s="85">
        <f t="shared" si="17"/>
        <v>0.36264980742495462</v>
      </c>
      <c r="Y36" s="85">
        <f t="shared" si="17"/>
        <v>0.36764584178307969</v>
      </c>
      <c r="Z36" s="85">
        <f t="shared" si="17"/>
        <v>0.36842085411038145</v>
      </c>
      <c r="AA36" s="86">
        <f t="shared" si="17"/>
        <v>0.36688029931299726</v>
      </c>
      <c r="AB36" s="85">
        <f t="shared" si="17"/>
        <v>0.41369327779093179</v>
      </c>
      <c r="AC36" s="85">
        <f t="shared" si="17"/>
        <v>0.41591655968053026</v>
      </c>
      <c r="AD36" s="85">
        <f t="shared" si="17"/>
        <v>0.41869213432393315</v>
      </c>
      <c r="AE36" s="85">
        <f t="shared" si="17"/>
        <v>0.41912269672798963</v>
      </c>
      <c r="AF36" s="86">
        <f t="shared" si="17"/>
        <v>0.41826683295166522</v>
      </c>
      <c r="AG36" s="86">
        <f t="shared" si="17"/>
        <v>0.46898231865160067</v>
      </c>
      <c r="AH36" s="86">
        <f t="shared" si="17"/>
        <v>0.51936643506732227</v>
      </c>
      <c r="AI36" s="86">
        <f t="shared" si="17"/>
        <v>0.56958041120881631</v>
      </c>
      <c r="AJ36" s="86">
        <f t="shared" si="17"/>
        <v>0.61970337035368028</v>
      </c>
    </row>
    <row r="37" spans="1:38" s="184" customFormat="1" ht="12.75" customHeight="1" x14ac:dyDescent="0.2">
      <c r="A37" s="88" t="s">
        <v>68</v>
      </c>
      <c r="B37" s="89"/>
      <c r="C37" s="265">
        <v>0</v>
      </c>
      <c r="D37" s="265">
        <v>0</v>
      </c>
      <c r="E37" s="265">
        <v>0.8</v>
      </c>
      <c r="F37" s="265">
        <v>1.3</v>
      </c>
      <c r="G37" s="90">
        <f>SUM(C37:F37)</f>
        <v>2.1</v>
      </c>
      <c r="H37" s="265">
        <v>0.4</v>
      </c>
      <c r="I37" s="265">
        <v>0.8</v>
      </c>
      <c r="J37" s="265">
        <v>3</v>
      </c>
      <c r="K37" s="265">
        <v>3.1</v>
      </c>
      <c r="L37" s="90">
        <f>SUM(H37:K37)</f>
        <v>7.3000000000000007</v>
      </c>
      <c r="M37" s="265">
        <v>1.9548300000000003</v>
      </c>
      <c r="N37" s="265">
        <v>2.8612199999999994</v>
      </c>
      <c r="O37" s="265">
        <v>8.2582500000000003</v>
      </c>
      <c r="P37" s="265">
        <v>12.158399999999997</v>
      </c>
      <c r="Q37" s="90">
        <f>SUM(M37:P37)</f>
        <v>25.232699999999998</v>
      </c>
      <c r="R37" s="265">
        <v>4.2038400000000014</v>
      </c>
      <c r="S37" s="265">
        <v>6.3336000000000006</v>
      </c>
      <c r="T37" s="265">
        <v>19.107839999999999</v>
      </c>
      <c r="U37" s="265">
        <v>28.333920000000003</v>
      </c>
      <c r="V37" s="90">
        <f>SUM(R37:U37)</f>
        <v>57.979200000000006</v>
      </c>
      <c r="W37" s="265">
        <v>8.3092840875000018</v>
      </c>
      <c r="X37" s="265">
        <v>12.799672500000002</v>
      </c>
      <c r="Y37" s="265">
        <v>40.99428524999999</v>
      </c>
      <c r="Z37" s="265">
        <v>61.38</v>
      </c>
      <c r="AA37" s="90">
        <f>SUM(W37:Z37)</f>
        <v>123.4832418375</v>
      </c>
      <c r="AB37" s="267">
        <v>17.218847100000005</v>
      </c>
      <c r="AC37" s="267">
        <v>26.736792599999998</v>
      </c>
      <c r="AD37" s="267">
        <v>84.035147699999996</v>
      </c>
      <c r="AE37" s="267">
        <v>125.40669959999997</v>
      </c>
      <c r="AF37" s="90">
        <f>SUM(AB37:AE37)</f>
        <v>253.39748699999996</v>
      </c>
      <c r="AG37" s="244">
        <v>484.66335697499994</v>
      </c>
      <c r="AH37" s="244">
        <v>861.52762100999985</v>
      </c>
      <c r="AI37" s="244">
        <v>1426.1340400781251</v>
      </c>
      <c r="AJ37" s="244">
        <v>2194.3933885020001</v>
      </c>
    </row>
    <row r="38" spans="1:38" s="144" customFormat="1" ht="2" customHeight="1" x14ac:dyDescent="0.2">
      <c r="A38" s="83"/>
      <c r="B38" s="122"/>
      <c r="C38" s="85"/>
      <c r="D38" s="85"/>
      <c r="E38" s="85"/>
      <c r="F38" s="85"/>
      <c r="G38" s="92"/>
      <c r="H38" s="87"/>
      <c r="I38" s="280"/>
      <c r="J38" s="280"/>
      <c r="K38" s="280"/>
      <c r="L38" s="92"/>
      <c r="M38" s="280"/>
      <c r="N38" s="280"/>
      <c r="O38" s="280"/>
      <c r="P38" s="280"/>
      <c r="Q38" s="92"/>
      <c r="R38" s="280"/>
      <c r="S38" s="280"/>
      <c r="T38" s="280"/>
      <c r="U38" s="280"/>
      <c r="V38" s="92"/>
      <c r="W38" s="280"/>
      <c r="X38" s="280"/>
      <c r="Y38" s="280"/>
      <c r="Z38" s="280"/>
      <c r="AA38" s="92"/>
      <c r="AB38" s="281"/>
      <c r="AC38" s="281"/>
      <c r="AD38" s="281"/>
      <c r="AE38" s="281"/>
      <c r="AF38" s="92"/>
      <c r="AG38" s="282"/>
      <c r="AH38" s="282"/>
      <c r="AI38" s="282"/>
      <c r="AJ38" s="282"/>
    </row>
    <row r="39" spans="1:38" s="187" customFormat="1" ht="22" customHeight="1" x14ac:dyDescent="0.2">
      <c r="A39" s="123" t="s">
        <v>66</v>
      </c>
      <c r="B39" s="124"/>
      <c r="C39" s="125">
        <f t="shared" ref="C39:Z39" si="18">C35-C37</f>
        <v>-0.51987499999999986</v>
      </c>
      <c r="D39" s="125">
        <f t="shared" si="18"/>
        <v>4.7000000000000597E-2</v>
      </c>
      <c r="E39" s="125">
        <f t="shared" si="18"/>
        <v>1.7120000000000013</v>
      </c>
      <c r="F39" s="125">
        <f t="shared" si="18"/>
        <v>2.835824999999998</v>
      </c>
      <c r="G39" s="126">
        <f t="shared" si="18"/>
        <v>4.0749499999999976</v>
      </c>
      <c r="H39" s="125">
        <f t="shared" si="18"/>
        <v>0.88099999999999878</v>
      </c>
      <c r="I39" s="125">
        <f t="shared" si="18"/>
        <v>1.6689999999999994</v>
      </c>
      <c r="J39" s="125">
        <f t="shared" si="18"/>
        <v>6.4649999999999963</v>
      </c>
      <c r="K39" s="125">
        <f t="shared" si="18"/>
        <v>11.424999999999992</v>
      </c>
      <c r="L39" s="126">
        <f t="shared" si="18"/>
        <v>20.440000000000008</v>
      </c>
      <c r="M39" s="125">
        <f t="shared" si="18"/>
        <v>2.6862700000000013</v>
      </c>
      <c r="N39" s="125">
        <f t="shared" si="18"/>
        <v>4.8011799999999987</v>
      </c>
      <c r="O39" s="125">
        <f t="shared" si="18"/>
        <v>17.394250000000003</v>
      </c>
      <c r="P39" s="125">
        <f t="shared" si="18"/>
        <v>26.494599999999995</v>
      </c>
      <c r="Q39" s="126">
        <f t="shared" si="18"/>
        <v>51.376300000000043</v>
      </c>
      <c r="R39" s="125">
        <f t="shared" si="18"/>
        <v>7.9339600000000043</v>
      </c>
      <c r="S39" s="125">
        <f t="shared" si="18"/>
        <v>12.903400000000001</v>
      </c>
      <c r="T39" s="125">
        <f t="shared" si="18"/>
        <v>42.709960000000009</v>
      </c>
      <c r="U39" s="125">
        <f t="shared" si="18"/>
        <v>64.237480000000005</v>
      </c>
      <c r="V39" s="126">
        <f t="shared" si="18"/>
        <v>127.78480000000006</v>
      </c>
      <c r="W39" s="125">
        <f t="shared" si="18"/>
        <v>19.334668412500001</v>
      </c>
      <c r="X39" s="125">
        <f t="shared" si="18"/>
        <v>30.371792500000012</v>
      </c>
      <c r="Y39" s="125">
        <f t="shared" si="18"/>
        <v>95.653332249999977</v>
      </c>
      <c r="Z39" s="125">
        <f t="shared" si="18"/>
        <v>142.76089000000002</v>
      </c>
      <c r="AA39" s="126">
        <f>SUM(W39:Z39)</f>
        <v>288.12068316249997</v>
      </c>
      <c r="AB39" s="127">
        <f t="shared" ref="AB39:AJ39" si="19">AB35-AB37</f>
        <v>40.177309900000012</v>
      </c>
      <c r="AC39" s="127">
        <f t="shared" si="19"/>
        <v>62.385849399999998</v>
      </c>
      <c r="AD39" s="127">
        <f t="shared" si="19"/>
        <v>196.08201130000003</v>
      </c>
      <c r="AE39" s="127">
        <f t="shared" si="19"/>
        <v>292.61563239999992</v>
      </c>
      <c r="AF39" s="126">
        <f t="shared" si="19"/>
        <v>591.26080300000012</v>
      </c>
      <c r="AG39" s="126">
        <f t="shared" si="19"/>
        <v>1128.2561662749999</v>
      </c>
      <c r="AH39" s="126">
        <f t="shared" si="19"/>
        <v>2007.6061156899998</v>
      </c>
      <c r="AI39" s="126">
        <f t="shared" si="19"/>
        <v>3325.0210935156251</v>
      </c>
      <c r="AJ39" s="126">
        <f t="shared" si="19"/>
        <v>5117.6262398380004</v>
      </c>
    </row>
    <row r="40" spans="1:38" s="144" customFormat="1" ht="12.75" customHeight="1" thickBot="1" x14ac:dyDescent="0.25">
      <c r="A40" s="83" t="s">
        <v>40</v>
      </c>
      <c r="B40" s="84"/>
      <c r="C40" s="85">
        <f t="shared" ref="C40:AJ40" si="20">C39/C$8</f>
        <v>-0.11552777777777774</v>
      </c>
      <c r="D40" s="85">
        <f t="shared" si="20"/>
        <v>6.7142857142857993E-3</v>
      </c>
      <c r="E40" s="85">
        <f t="shared" si="20"/>
        <v>7.9627906976744253E-2</v>
      </c>
      <c r="F40" s="98">
        <f t="shared" si="20"/>
        <v>8.8619531249999939E-2</v>
      </c>
      <c r="G40" s="86">
        <f t="shared" si="20"/>
        <v>6.2691538461538424E-2</v>
      </c>
      <c r="H40" s="87">
        <f t="shared" si="20"/>
        <v>8.989795918367334E-2</v>
      </c>
      <c r="I40" s="85">
        <f t="shared" si="20"/>
        <v>0.10980263157894732</v>
      </c>
      <c r="J40" s="85">
        <f t="shared" si="20"/>
        <v>0.13755319148936163</v>
      </c>
      <c r="K40" s="85">
        <f t="shared" si="20"/>
        <v>0.16321428571428559</v>
      </c>
      <c r="L40" s="86">
        <f t="shared" si="20"/>
        <v>0.14394366197183103</v>
      </c>
      <c r="M40" s="85">
        <f t="shared" si="20"/>
        <v>0.131486539402839</v>
      </c>
      <c r="N40" s="85">
        <f t="shared" si="20"/>
        <v>0.15183997469955721</v>
      </c>
      <c r="O40" s="85">
        <f t="shared" si="20"/>
        <v>0.17704071246819342</v>
      </c>
      <c r="P40" s="85">
        <f t="shared" si="20"/>
        <v>0.18097404371584694</v>
      </c>
      <c r="Q40" s="86">
        <f t="shared" si="20"/>
        <v>0.17315908324907325</v>
      </c>
      <c r="R40" s="85">
        <f t="shared" si="20"/>
        <v>0.19510537317103169</v>
      </c>
      <c r="S40" s="85">
        <f t="shared" si="20"/>
        <v>0.20530469371519491</v>
      </c>
      <c r="T40" s="85">
        <f t="shared" si="20"/>
        <v>0.21800250108465408</v>
      </c>
      <c r="U40" s="85">
        <f t="shared" si="20"/>
        <v>0.21997630299294571</v>
      </c>
      <c r="V40" s="86">
        <f t="shared" si="20"/>
        <v>0.21605342801589322</v>
      </c>
      <c r="W40" s="85">
        <f t="shared" si="20"/>
        <v>0.25084467294599966</v>
      </c>
      <c r="X40" s="85">
        <f t="shared" si="20"/>
        <v>0.25512974139922479</v>
      </c>
      <c r="Y40" s="85">
        <f t="shared" si="20"/>
        <v>0.25735208924815578</v>
      </c>
      <c r="Z40" s="85">
        <f t="shared" si="20"/>
        <v>0.25764602587633578</v>
      </c>
      <c r="AA40" s="86">
        <f t="shared" si="20"/>
        <v>0.25681436948620756</v>
      </c>
      <c r="AB40" s="85">
        <f t="shared" si="20"/>
        <v>0.28958529445365222</v>
      </c>
      <c r="AC40" s="85">
        <f t="shared" si="20"/>
        <v>0.29114159177637117</v>
      </c>
      <c r="AD40" s="85">
        <f t="shared" si="20"/>
        <v>0.29308449402675324</v>
      </c>
      <c r="AE40" s="85">
        <f t="shared" si="20"/>
        <v>0.29338588770959273</v>
      </c>
      <c r="AF40" s="86">
        <f t="shared" si="20"/>
        <v>0.29278678306616568</v>
      </c>
      <c r="AG40" s="86">
        <f t="shared" si="20"/>
        <v>0.32805864475273067</v>
      </c>
      <c r="AH40" s="86">
        <f t="shared" si="20"/>
        <v>0.36341395243727309</v>
      </c>
      <c r="AI40" s="86">
        <f t="shared" si="20"/>
        <v>0.39861188036815509</v>
      </c>
      <c r="AJ40" s="86">
        <f t="shared" si="20"/>
        <v>0.43372561757715422</v>
      </c>
      <c r="AL40" s="188"/>
    </row>
    <row r="41" spans="1:38" ht="12.75" customHeight="1" thickBot="1" x14ac:dyDescent="0.25">
      <c r="A41" s="245" t="s">
        <v>51</v>
      </c>
      <c r="B41" s="246"/>
      <c r="C41" s="247">
        <v>1165</v>
      </c>
      <c r="D41" s="247">
        <v>1165</v>
      </c>
      <c r="E41" s="247">
        <v>1165</v>
      </c>
      <c r="F41" s="247">
        <v>1165</v>
      </c>
      <c r="G41" s="248">
        <v>1165</v>
      </c>
      <c r="H41" s="247">
        <v>1165</v>
      </c>
      <c r="I41" s="247">
        <v>1165</v>
      </c>
      <c r="J41" s="247">
        <v>1165</v>
      </c>
      <c r="K41" s="247">
        <v>1165</v>
      </c>
      <c r="L41" s="248">
        <v>1165</v>
      </c>
      <c r="M41" s="247">
        <v>1165</v>
      </c>
      <c r="N41" s="247">
        <v>1165</v>
      </c>
      <c r="O41" s="247">
        <v>1165</v>
      </c>
      <c r="P41" s="247">
        <v>1165</v>
      </c>
      <c r="Q41" s="248">
        <f>P41</f>
        <v>1165</v>
      </c>
      <c r="R41" s="247">
        <v>1165</v>
      </c>
      <c r="S41" s="247">
        <v>1165</v>
      </c>
      <c r="T41" s="247">
        <v>1165</v>
      </c>
      <c r="U41" s="247">
        <v>1165</v>
      </c>
      <c r="V41" s="248">
        <f>U41</f>
        <v>1165</v>
      </c>
      <c r="W41" s="247">
        <v>1165</v>
      </c>
      <c r="X41" s="247">
        <v>1165</v>
      </c>
      <c r="Y41" s="247">
        <v>1165</v>
      </c>
      <c r="Z41" s="247">
        <v>1165</v>
      </c>
      <c r="AA41" s="248">
        <f>Z41</f>
        <v>1165</v>
      </c>
      <c r="AB41" s="247">
        <v>1165</v>
      </c>
      <c r="AC41" s="247">
        <v>1165</v>
      </c>
      <c r="AD41" s="247">
        <v>1165</v>
      </c>
      <c r="AE41" s="247">
        <v>1165</v>
      </c>
      <c r="AF41" s="248">
        <f>AE41</f>
        <v>1165</v>
      </c>
      <c r="AG41" s="283">
        <v>1165</v>
      </c>
      <c r="AH41" s="284">
        <v>1165</v>
      </c>
      <c r="AI41" s="284">
        <v>1165</v>
      </c>
      <c r="AJ41" s="284">
        <v>1165</v>
      </c>
    </row>
    <row r="42" spans="1:38" ht="12.75" customHeight="1" x14ac:dyDescent="0.2">
      <c r="X42" s="189"/>
      <c r="Y42" s="189"/>
      <c r="Z42" s="189"/>
      <c r="AA42" s="189"/>
    </row>
    <row r="43" spans="1:38" ht="12.75" customHeight="1" x14ac:dyDescent="0.2">
      <c r="A43" s="182" t="s">
        <v>91</v>
      </c>
      <c r="C43" s="332">
        <f>C37/C35</f>
        <v>0</v>
      </c>
      <c r="D43" s="332">
        <f t="shared" ref="D43:AJ43" si="21">D37/D35</f>
        <v>0</v>
      </c>
      <c r="E43" s="332">
        <f t="shared" si="21"/>
        <v>0.31847133757961771</v>
      </c>
      <c r="F43" s="332">
        <f t="shared" si="21"/>
        <v>0.31432664583245196</v>
      </c>
      <c r="G43" s="332">
        <f t="shared" si="21"/>
        <v>0.34008372537429471</v>
      </c>
      <c r="H43" s="332">
        <f t="shared" si="21"/>
        <v>0.31225604996096828</v>
      </c>
      <c r="I43" s="332">
        <f t="shared" si="21"/>
        <v>0.32401782098015403</v>
      </c>
      <c r="J43" s="332">
        <f t="shared" si="21"/>
        <v>0.31695721077654532</v>
      </c>
      <c r="K43" s="332">
        <f t="shared" si="21"/>
        <v>0.21342512908777983</v>
      </c>
      <c r="L43" s="332">
        <f t="shared" si="21"/>
        <v>0.26315789473684204</v>
      </c>
      <c r="M43" s="332">
        <f t="shared" si="21"/>
        <v>0.42119971558466734</v>
      </c>
      <c r="N43" s="332">
        <f t="shared" si="21"/>
        <v>0.37341041971183964</v>
      </c>
      <c r="O43" s="332">
        <f t="shared" si="21"/>
        <v>0.3219276873599064</v>
      </c>
      <c r="P43" s="332">
        <f t="shared" si="21"/>
        <v>0.31455255736941501</v>
      </c>
      <c r="Q43" s="332">
        <f t="shared" si="21"/>
        <v>0.32936991737263227</v>
      </c>
      <c r="R43" s="332">
        <f t="shared" si="21"/>
        <v>0.34634282983736753</v>
      </c>
      <c r="S43" s="332">
        <f t="shared" si="21"/>
        <v>0.32924052606955345</v>
      </c>
      <c r="T43" s="332">
        <f t="shared" si="21"/>
        <v>0.30909932090757025</v>
      </c>
      <c r="U43" s="332">
        <f t="shared" si="21"/>
        <v>0.30607639076431814</v>
      </c>
      <c r="V43" s="332">
        <f t="shared" si="21"/>
        <v>0.31211214228806433</v>
      </c>
      <c r="W43" s="332">
        <f t="shared" si="21"/>
        <v>0.30058234572281228</v>
      </c>
      <c r="X43" s="332">
        <f t="shared" si="21"/>
        <v>0.29648455293328585</v>
      </c>
      <c r="Y43" s="332">
        <f t="shared" si="21"/>
        <v>0.3</v>
      </c>
      <c r="Z43" s="332">
        <f t="shared" si="21"/>
        <v>0.30067469579465433</v>
      </c>
      <c r="AA43" s="332">
        <f t="shared" si="21"/>
        <v>0.30000501534940427</v>
      </c>
      <c r="AB43" s="332">
        <f t="shared" si="21"/>
        <v>0.3</v>
      </c>
      <c r="AC43" s="332">
        <f t="shared" si="21"/>
        <v>0.3</v>
      </c>
      <c r="AD43" s="332">
        <f t="shared" si="21"/>
        <v>0.3</v>
      </c>
      <c r="AE43" s="332">
        <f t="shared" si="21"/>
        <v>0.3</v>
      </c>
      <c r="AF43" s="332">
        <f t="shared" si="21"/>
        <v>0.29999999999999993</v>
      </c>
      <c r="AG43" s="332">
        <f t="shared" si="21"/>
        <v>0.30048824506656924</v>
      </c>
      <c r="AH43" s="332">
        <f t="shared" si="21"/>
        <v>0.30027447308918603</v>
      </c>
      <c r="AI43" s="332">
        <f t="shared" si="21"/>
        <v>0.3001657491658043</v>
      </c>
      <c r="AJ43" s="332">
        <f t="shared" si="21"/>
        <v>0.30010769938266413</v>
      </c>
    </row>
    <row r="44" spans="1:38" ht="12.75" customHeight="1" x14ac:dyDescent="0.2"/>
    <row r="45" spans="1:38" x14ac:dyDescent="0.2">
      <c r="A45" s="182"/>
      <c r="C45" s="333"/>
    </row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</sheetData>
  <mergeCells count="4">
    <mergeCell ref="A1:B1"/>
    <mergeCell ref="A2:B2"/>
    <mergeCell ref="A3:B3"/>
    <mergeCell ref="A4:B4"/>
  </mergeCells>
  <pageMargins left="0.7" right="0.7" top="0.75" bottom="0.75" header="0.3" footer="0.3"/>
  <pageSetup paperSize="9" orientation="portrait" r:id="rId1"/>
  <ignoredErrors>
    <ignoredError sqref="AK19:AL19 AK21:AL21 AK23:AL23 AK25:AL25 AK28:AL29 AK27:AL27 AK31:AL31 AK30:AL30 AK33:AL33 AK32:AL32 AK35:AL35 AK34:AL34 AK38:AL39 AK36:AL36 AK40:AL40 AK22:AL22 AK24:AL24 AK20:AL20 AK18:AL18 AK26:AL26 AK37:AL37 AE42:AL42 AK41:AL41 G42:AD42 G52:AD98 AE44:AL51 AK43:AL43 G44:AD51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M50"/>
  <sheetViews>
    <sheetView showGridLines="0" zoomScale="118" zoomScaleNormal="100" workbookViewId="0">
      <pane xSplit="1" ySplit="7" topLeftCell="Z10" activePane="bottomRight" state="frozen"/>
      <selection pane="topRight" activeCell="B1" sqref="B1"/>
      <selection pane="bottomLeft" activeCell="A8" sqref="A8"/>
      <selection pane="bottomRight" activeCell="AL24" sqref="AL24"/>
    </sheetView>
  </sheetViews>
  <sheetFormatPr baseColWidth="10" defaultColWidth="8.83203125" defaultRowHeight="14" outlineLevelRow="1" outlineLevelCol="1" x14ac:dyDescent="0.2"/>
  <cols>
    <col min="1" max="1" width="54.83203125" style="146" customWidth="1"/>
    <col min="2" max="5" width="9.1640625" style="150" customWidth="1" outlineLevel="1"/>
    <col min="6" max="6" width="9.1640625" style="150" customWidth="1"/>
    <col min="7" max="10" width="9.1640625" style="150" customWidth="1" outlineLevel="1"/>
    <col min="11" max="11" width="9.1640625" style="150" customWidth="1"/>
    <col min="12" max="15" width="9.1640625" style="150" customWidth="1" outlineLevel="1"/>
    <col min="16" max="16" width="9.1640625" style="150" customWidth="1"/>
    <col min="17" max="20" width="9.1640625" style="150" customWidth="1" outlineLevel="1"/>
    <col min="21" max="21" width="9.1640625" style="150" customWidth="1"/>
    <col min="22" max="25" width="9.1640625" style="150" customWidth="1" outlineLevel="1"/>
    <col min="26" max="26" width="9.1640625" style="150" customWidth="1"/>
    <col min="27" max="30" width="9.1640625" style="150" customWidth="1" outlineLevel="1"/>
    <col min="31" max="35" width="9.1640625" style="166" customWidth="1"/>
    <col min="36" max="16384" width="8.83203125" style="150"/>
  </cols>
  <sheetData>
    <row r="1" spans="1:39" s="146" customFormat="1" ht="16" x14ac:dyDescent="0.2">
      <c r="A1" s="145" t="s">
        <v>6</v>
      </c>
      <c r="AE1" s="151"/>
      <c r="AF1" s="151"/>
      <c r="AG1" s="151"/>
      <c r="AH1" s="151"/>
      <c r="AI1" s="151"/>
    </row>
    <row r="2" spans="1:39" s="146" customFormat="1" ht="16" x14ac:dyDescent="0.2">
      <c r="A2" s="152" t="s">
        <v>0</v>
      </c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  <c r="AE2" s="310"/>
    </row>
    <row r="3" spans="1:39" s="146" customFormat="1" x14ac:dyDescent="0.2">
      <c r="B3" s="74"/>
      <c r="C3" s="74"/>
      <c r="D3" s="74"/>
      <c r="E3" s="74"/>
      <c r="F3" s="74"/>
      <c r="G3" s="74"/>
      <c r="H3" s="74"/>
      <c r="I3" s="74"/>
      <c r="J3" s="74"/>
      <c r="K3" s="74"/>
      <c r="L3" s="74"/>
      <c r="M3" s="74"/>
      <c r="N3" s="74"/>
      <c r="O3" s="74"/>
      <c r="P3" s="74"/>
      <c r="Q3" s="74"/>
      <c r="R3" s="74"/>
      <c r="S3" s="74"/>
      <c r="T3" s="74"/>
      <c r="U3" s="74"/>
      <c r="V3" s="74"/>
      <c r="W3" s="74"/>
      <c r="X3" s="74"/>
      <c r="Y3" s="74"/>
      <c r="Z3" s="310"/>
      <c r="AE3" s="310"/>
      <c r="AJ3" s="74"/>
      <c r="AK3" s="74"/>
      <c r="AL3" s="74"/>
      <c r="AM3" s="74"/>
    </row>
    <row r="4" spans="1:39" s="146" customFormat="1" x14ac:dyDescent="0.2">
      <c r="A4" s="155" t="s">
        <v>1</v>
      </c>
      <c r="B4" s="156"/>
      <c r="C4" s="156"/>
      <c r="D4" s="148"/>
      <c r="E4" s="148"/>
      <c r="F4" s="148"/>
      <c r="G4" s="148"/>
      <c r="H4" s="148"/>
      <c r="I4" s="148"/>
      <c r="J4" s="148"/>
      <c r="K4" s="74"/>
      <c r="L4" s="148"/>
      <c r="M4" s="148"/>
      <c r="N4" s="148"/>
      <c r="O4" s="148"/>
      <c r="P4" s="74"/>
      <c r="Q4" s="153"/>
      <c r="R4" s="153"/>
      <c r="S4" s="153"/>
      <c r="T4" s="153"/>
      <c r="U4" s="153"/>
      <c r="V4" s="153"/>
      <c r="W4" s="153"/>
      <c r="X4" s="153"/>
      <c r="Y4" s="153"/>
      <c r="Z4" s="153"/>
      <c r="AA4" s="153"/>
      <c r="AB4" s="153"/>
      <c r="AC4" s="153"/>
      <c r="AD4" s="153"/>
      <c r="AE4" s="311"/>
      <c r="AF4" s="154"/>
      <c r="AG4" s="154"/>
      <c r="AH4" s="154"/>
      <c r="AI4" s="154"/>
    </row>
    <row r="5" spans="1:39" ht="15" thickBot="1" x14ac:dyDescent="0.25">
      <c r="A5" s="157" t="s">
        <v>2</v>
      </c>
      <c r="F5" s="258">
        <f>K$5-1</f>
        <v>-4</v>
      </c>
      <c r="G5" s="259"/>
      <c r="H5" s="260"/>
      <c r="I5" s="260"/>
      <c r="J5" s="260"/>
      <c r="K5" s="258">
        <f>P$5-1</f>
        <v>-3</v>
      </c>
      <c r="L5" s="261"/>
      <c r="M5" s="260"/>
      <c r="N5" s="260"/>
      <c r="O5" s="260"/>
      <c r="P5" s="258">
        <f>U$5-1</f>
        <v>-2</v>
      </c>
      <c r="Q5" s="260"/>
      <c r="R5" s="260"/>
      <c r="S5" s="260"/>
      <c r="T5" s="260"/>
      <c r="U5" s="258">
        <f>Z$5-1</f>
        <v>-1</v>
      </c>
      <c r="V5" s="262"/>
      <c r="W5" s="262"/>
      <c r="X5" s="262"/>
      <c r="Y5" s="262"/>
      <c r="Z5" s="258">
        <v>0</v>
      </c>
      <c r="AA5" s="258"/>
      <c r="AB5" s="258"/>
      <c r="AC5" s="258"/>
      <c r="AD5" s="258"/>
      <c r="AE5" s="258">
        <f>Z5+1</f>
        <v>1</v>
      </c>
      <c r="AF5" s="258">
        <f>AE5+1</f>
        <v>2</v>
      </c>
      <c r="AG5" s="258">
        <f>AF5+1</f>
        <v>3</v>
      </c>
      <c r="AH5" s="258">
        <f>AG5+1</f>
        <v>4</v>
      </c>
      <c r="AI5" s="258">
        <f>AH5+1</f>
        <v>5</v>
      </c>
    </row>
    <row r="6" spans="1:39" ht="15" customHeight="1" thickBot="1" x14ac:dyDescent="0.25">
      <c r="A6" s="451" t="s">
        <v>7</v>
      </c>
      <c r="B6" s="2">
        <f ca="1">F7</f>
        <v>2021</v>
      </c>
      <c r="C6" s="2"/>
      <c r="D6" s="2"/>
      <c r="E6" s="3"/>
      <c r="F6" s="1" t="s">
        <v>3</v>
      </c>
      <c r="G6" s="2">
        <f ca="1">K7</f>
        <v>2022</v>
      </c>
      <c r="H6" s="2"/>
      <c r="I6" s="2"/>
      <c r="J6" s="3"/>
      <c r="K6" s="1" t="s">
        <v>3</v>
      </c>
      <c r="L6" s="2">
        <f ca="1">P7</f>
        <v>2023</v>
      </c>
      <c r="M6" s="2"/>
      <c r="N6" s="2"/>
      <c r="O6" s="3"/>
      <c r="P6" s="1" t="s">
        <v>3</v>
      </c>
      <c r="Q6" s="2">
        <f ca="1">U7</f>
        <v>2024</v>
      </c>
      <c r="R6" s="2"/>
      <c r="S6" s="2"/>
      <c r="T6" s="3"/>
      <c r="U6" s="1" t="s">
        <v>3</v>
      </c>
      <c r="V6" s="2">
        <f ca="1">Z7</f>
        <v>2025</v>
      </c>
      <c r="W6" s="2"/>
      <c r="X6" s="2"/>
      <c r="Y6" s="3"/>
      <c r="Z6" s="1" t="s">
        <v>3</v>
      </c>
      <c r="AA6" s="2" t="str">
        <f ca="1">AE7</f>
        <v>2026e</v>
      </c>
      <c r="AB6" s="2"/>
      <c r="AC6" s="2"/>
      <c r="AD6" s="3"/>
      <c r="AE6" s="5" t="s">
        <v>4</v>
      </c>
      <c r="AF6" s="5" t="s">
        <v>4</v>
      </c>
      <c r="AG6" s="5" t="s">
        <v>4</v>
      </c>
      <c r="AH6" s="5" t="s">
        <v>4</v>
      </c>
      <c r="AI6" s="5" t="s">
        <v>4</v>
      </c>
    </row>
    <row r="7" spans="1:39" ht="14.5" customHeight="1" thickBot="1" x14ac:dyDescent="0.25">
      <c r="A7" s="452"/>
      <c r="B7" s="77" t="str">
        <f ca="1">"1Q"&amp;RIGHT(F7,2)&amp;"A"</f>
        <v>1Q21A</v>
      </c>
      <c r="C7" s="77" t="str">
        <f ca="1">"2Q"&amp;RIGHT(F7,2)&amp;"A"</f>
        <v>2Q21A</v>
      </c>
      <c r="D7" s="77" t="str">
        <f ca="1">"3Q"&amp;RIGHT(F7,2)&amp;"A"</f>
        <v>3Q21A</v>
      </c>
      <c r="E7" s="77" t="str">
        <f ca="1">"4Q"&amp;RIGHT(F7,2)&amp;"A"</f>
        <v>4Q21A</v>
      </c>
      <c r="F7" s="78">
        <f ca="1">YEAR(TODAY())+F$5</f>
        <v>2021</v>
      </c>
      <c r="G7" s="77" t="str">
        <f ca="1">"1Q"&amp;RIGHT(K7,2)&amp;"A"</f>
        <v>1Q22A</v>
      </c>
      <c r="H7" s="77" t="str">
        <f ca="1">"2Q"&amp;RIGHT(K7,2)&amp;"A"</f>
        <v>2Q22A</v>
      </c>
      <c r="I7" s="77" t="str">
        <f ca="1">"3Q"&amp;RIGHT(K7,2)&amp;"A"</f>
        <v>3Q22A</v>
      </c>
      <c r="J7" s="77" t="str">
        <f ca="1">"4Q"&amp;RIGHT(K7,2)&amp;"A"</f>
        <v>4Q22A</v>
      </c>
      <c r="K7" s="78">
        <f ca="1">YEAR(TODAY())+K$5</f>
        <v>2022</v>
      </c>
      <c r="L7" s="77" t="str">
        <f ca="1">"1Q"&amp;RIGHT(P7,2)&amp;"A"</f>
        <v>1Q23A</v>
      </c>
      <c r="M7" s="77" t="str">
        <f ca="1">"2Q"&amp;RIGHT(P7,2)&amp;"A"</f>
        <v>2Q23A</v>
      </c>
      <c r="N7" s="77" t="str">
        <f ca="1">"3Q"&amp;RIGHT(P7,2)&amp;"A"</f>
        <v>3Q23A</v>
      </c>
      <c r="O7" s="77" t="str">
        <f ca="1">"4Q"&amp;RIGHT(P7,2)&amp;"A"</f>
        <v>4Q23A</v>
      </c>
      <c r="P7" s="78">
        <f ca="1">YEAR(TODAY())+P$5</f>
        <v>2023</v>
      </c>
      <c r="Q7" s="77" t="str">
        <f ca="1">"1Q"&amp;RIGHT(U7,2)&amp;"A"</f>
        <v>1Q24A</v>
      </c>
      <c r="R7" s="77" t="str">
        <f ca="1">"2Q"&amp;RIGHT(U7,2)&amp;"A"</f>
        <v>2Q24A</v>
      </c>
      <c r="S7" s="77" t="str">
        <f ca="1">"3Q"&amp;RIGHT(U7,2)&amp;"A"</f>
        <v>3Q24A</v>
      </c>
      <c r="T7" s="77" t="str">
        <f ca="1">"4Q"&amp;RIGHT(U7,2)&amp;"A"</f>
        <v>4Q24A</v>
      </c>
      <c r="U7" s="78">
        <f ca="1">YEAR(TODAY())+U$5</f>
        <v>2024</v>
      </c>
      <c r="V7" s="77" t="str">
        <f ca="1">IF(MONTH(TODAY())&gt;3,"1Q"&amp;RIGHT(Z7,2)&amp;"A","1Q"&amp;RIGHT(Z7,2)&amp;"A")</f>
        <v>1Q25A</v>
      </c>
      <c r="W7" s="77" t="str">
        <f ca="1">IF(MONTH(TODAY())&gt;6,"2Q"&amp;RIGHT(Z7,2)&amp;"A","2Q"&amp;RIGHT(Z7,2)&amp;"A")</f>
        <v>2Q25A</v>
      </c>
      <c r="X7" s="77" t="str">
        <f ca="1">IF(MONTH(TODAY())&gt;9,"3Q"&amp;RIGHT(Z7,2)&amp;"A","3Q"&amp;RIGHT(Z7,2)&amp;"A")</f>
        <v>3Q25A</v>
      </c>
      <c r="Y7" s="77" t="str">
        <f ca="1">"4Q"&amp;RIGHT(Z7,2)&amp;"A"</f>
        <v>4Q25A</v>
      </c>
      <c r="Z7" s="78">
        <f ca="1">YEAR(TODAY())+Z$5</f>
        <v>2025</v>
      </c>
      <c r="AA7" s="77" t="str">
        <f ca="1">"1Q"&amp;RIGHT(AE7,3)</f>
        <v>1Q26e</v>
      </c>
      <c r="AB7" s="77" t="str">
        <f ca="1">"2Q"&amp;RIGHT(AE7,3)</f>
        <v>2Q26e</v>
      </c>
      <c r="AC7" s="77" t="str">
        <f ca="1">"3Q"&amp;RIGHT(AE7,3)</f>
        <v>3Q26e</v>
      </c>
      <c r="AD7" s="77" t="str">
        <f ca="1">"4Q"&amp;RIGHT(AE7,3)</f>
        <v>4Q26e</v>
      </c>
      <c r="AE7" s="78" t="str">
        <f ca="1">YEAR(TODAY())+AE$5&amp;"e"</f>
        <v>2026e</v>
      </c>
      <c r="AF7" s="78" t="str">
        <f ca="1">YEAR(TODAY())+AF$5&amp;"e"</f>
        <v>2027e</v>
      </c>
      <c r="AG7" s="78" t="str">
        <f ca="1">YEAR(TODAY())+AG$5&amp;"e"</f>
        <v>2028e</v>
      </c>
      <c r="AH7" s="78" t="str">
        <f ca="1">YEAR(TODAY())+AH$5&amp;"e"</f>
        <v>2029e</v>
      </c>
      <c r="AI7" s="78" t="str">
        <f ca="1">YEAR(TODAY())+AI$5&amp;"e"</f>
        <v>2030e</v>
      </c>
    </row>
    <row r="8" spans="1:39" s="74" customFormat="1" x14ac:dyDescent="0.2">
      <c r="A8" s="6"/>
      <c r="B8" s="7"/>
      <c r="C8" s="7"/>
      <c r="D8" s="7"/>
      <c r="E8" s="8"/>
      <c r="F8" s="9"/>
      <c r="G8" s="10"/>
      <c r="H8" s="10"/>
      <c r="I8" s="10"/>
      <c r="J8" s="10"/>
      <c r="K8" s="9"/>
      <c r="L8" s="10"/>
      <c r="M8" s="10"/>
      <c r="N8" s="10"/>
      <c r="O8" s="10"/>
      <c r="P8" s="9"/>
      <c r="Q8" s="10"/>
      <c r="R8" s="10"/>
      <c r="S8" s="10"/>
      <c r="T8" s="10"/>
      <c r="U8" s="9"/>
      <c r="V8" s="10"/>
      <c r="W8" s="10"/>
      <c r="X8" s="10"/>
      <c r="Y8" s="10"/>
      <c r="Z8" s="9"/>
      <c r="AA8" s="10"/>
      <c r="AB8" s="10"/>
      <c r="AC8" s="10"/>
      <c r="AD8" s="10"/>
      <c r="AE8" s="11"/>
      <c r="AF8" s="11"/>
      <c r="AG8" s="11"/>
      <c r="AH8" s="11"/>
      <c r="AI8" s="11"/>
    </row>
    <row r="9" spans="1:39" s="74" customFormat="1" x14ac:dyDescent="0.2">
      <c r="A9" s="57" t="s">
        <v>8</v>
      </c>
      <c r="B9" s="14"/>
      <c r="C9" s="14"/>
      <c r="D9" s="14"/>
      <c r="E9" s="12"/>
      <c r="F9" s="13"/>
      <c r="G9" s="14"/>
      <c r="H9" s="14"/>
      <c r="I9" s="14"/>
      <c r="J9" s="14"/>
      <c r="K9" s="13"/>
      <c r="L9" s="14"/>
      <c r="M9" s="14"/>
      <c r="N9" s="14"/>
      <c r="O9" s="14"/>
      <c r="P9" s="13"/>
      <c r="Q9" s="14"/>
      <c r="R9" s="14"/>
      <c r="S9" s="14"/>
      <c r="T9" s="14"/>
      <c r="U9" s="13"/>
      <c r="V9" s="14"/>
      <c r="W9" s="14"/>
      <c r="X9" s="14"/>
      <c r="Y9" s="14"/>
      <c r="Z9" s="13"/>
      <c r="AA9" s="14"/>
      <c r="AB9" s="14"/>
      <c r="AC9" s="14"/>
      <c r="AD9" s="14"/>
      <c r="AE9" s="13"/>
      <c r="AF9" s="13"/>
      <c r="AG9" s="13"/>
      <c r="AH9" s="13"/>
      <c r="AI9" s="13"/>
    </row>
    <row r="10" spans="1:39" s="159" customFormat="1" x14ac:dyDescent="0.2">
      <c r="A10" s="285" t="s">
        <v>9</v>
      </c>
      <c r="B10" s="18">
        <v>96.500062499999999</v>
      </c>
      <c r="C10" s="18">
        <v>84.847062499999993</v>
      </c>
      <c r="D10" s="18">
        <v>85.484062499999993</v>
      </c>
      <c r="E10" s="18">
        <v>99.61388749999999</v>
      </c>
      <c r="F10" s="19">
        <v>99.61388749999999</v>
      </c>
      <c r="G10" s="20">
        <v>67.39688750000002</v>
      </c>
      <c r="H10" s="20">
        <v>67.603887500000013</v>
      </c>
      <c r="I10" s="20">
        <v>67.584887500000008</v>
      </c>
      <c r="J10" s="20">
        <v>72.519887499999996</v>
      </c>
      <c r="K10" s="19">
        <v>72.519887499999996</v>
      </c>
      <c r="L10" s="20">
        <v>80.628757499999992</v>
      </c>
      <c r="M10" s="20">
        <v>82.394237499999988</v>
      </c>
      <c r="N10" s="20">
        <v>86.214087499999991</v>
      </c>
      <c r="O10" s="20">
        <v>99.129187499999986</v>
      </c>
      <c r="P10" s="19">
        <v>99.129187499999986</v>
      </c>
      <c r="Q10" s="20">
        <v>118.77544749999998</v>
      </c>
      <c r="R10" s="18">
        <v>125.65229749999999</v>
      </c>
      <c r="S10" s="18">
        <v>141.2680575</v>
      </c>
      <c r="T10" s="18">
        <v>178.4108875</v>
      </c>
      <c r="U10" s="19">
        <v>178.4108875</v>
      </c>
      <c r="V10" s="18">
        <v>221.83407091250001</v>
      </c>
      <c r="W10" s="18">
        <v>240.79802591250001</v>
      </c>
      <c r="X10" s="18">
        <v>285.02424816249999</v>
      </c>
      <c r="Y10" s="18">
        <v>376.36643566250001</v>
      </c>
      <c r="Z10" s="19">
        <v>376.36643566250001</v>
      </c>
      <c r="AA10" s="241">
        <v>463.60300256250002</v>
      </c>
      <c r="AB10" s="242">
        <v>505.4547444625</v>
      </c>
      <c r="AC10" s="242">
        <v>608.96795776249996</v>
      </c>
      <c r="AD10" s="243">
        <v>809.02992566249986</v>
      </c>
      <c r="AE10" s="19">
        <v>809.02992566249986</v>
      </c>
      <c r="AF10" s="19">
        <v>1447.8905044375001</v>
      </c>
      <c r="AG10" s="19">
        <v>2908.2181653275002</v>
      </c>
      <c r="AH10" s="19">
        <v>5449.9276508306248</v>
      </c>
      <c r="AI10" s="19">
        <v>9528.0883838773752</v>
      </c>
    </row>
    <row r="11" spans="1:39" s="74" customFormat="1" x14ac:dyDescent="0.2">
      <c r="A11" s="58" t="s">
        <v>10</v>
      </c>
      <c r="B11" s="18">
        <v>6.5450625000000002</v>
      </c>
      <c r="C11" s="18">
        <v>6.5450625000000002</v>
      </c>
      <c r="D11" s="18">
        <v>6.5450625000000002</v>
      </c>
      <c r="E11" s="18">
        <v>6.5450625000000002</v>
      </c>
      <c r="F11" s="19">
        <v>6.5450625000000002</v>
      </c>
      <c r="G11" s="20">
        <v>6.5450625000000002</v>
      </c>
      <c r="H11" s="20">
        <v>6.5450625000000002</v>
      </c>
      <c r="I11" s="20">
        <v>6.5450625000000002</v>
      </c>
      <c r="J11" s="20">
        <v>6.5450625000000002</v>
      </c>
      <c r="K11" s="19">
        <v>6.5450625000000002</v>
      </c>
      <c r="L11" s="20">
        <v>6.5450625000000002</v>
      </c>
      <c r="M11" s="20">
        <v>6.5450625000000002</v>
      </c>
      <c r="N11" s="20">
        <v>6.5450625000000002</v>
      </c>
      <c r="O11" s="20">
        <v>6.5450625000000002</v>
      </c>
      <c r="P11" s="19">
        <v>6.5450625000000002</v>
      </c>
      <c r="Q11" s="20">
        <v>6.5450625000000002</v>
      </c>
      <c r="R11" s="20">
        <v>6.5450625000000002</v>
      </c>
      <c r="S11" s="20">
        <v>6.5450625000000002</v>
      </c>
      <c r="T11" s="20">
        <v>6.5450625000000002</v>
      </c>
      <c r="U11" s="19">
        <v>6.5450625000000002</v>
      </c>
      <c r="V11" s="20">
        <v>6.5450625000000002</v>
      </c>
      <c r="W11" s="20">
        <v>6.5450625000000002</v>
      </c>
      <c r="X11" s="20">
        <v>6.5450625000000002</v>
      </c>
      <c r="Y11" s="20">
        <v>6.5450625000000002</v>
      </c>
      <c r="Z11" s="19">
        <v>6.5450625000000002</v>
      </c>
      <c r="AA11" s="240">
        <v>6.5450625000000002</v>
      </c>
      <c r="AB11" s="240">
        <v>6.5450625000000002</v>
      </c>
      <c r="AC11" s="240">
        <v>6.5450625000000002</v>
      </c>
      <c r="AD11" s="240">
        <v>6.5450625000000002</v>
      </c>
      <c r="AE11" s="17">
        <v>6.5450625000000002</v>
      </c>
      <c r="AF11" s="16">
        <v>6.5450625000000002</v>
      </c>
      <c r="AG11" s="17">
        <v>6.5450625000000002</v>
      </c>
      <c r="AH11" s="17">
        <v>6.5450625000000002</v>
      </c>
      <c r="AI11" s="17">
        <v>6.5450625000000002</v>
      </c>
    </row>
    <row r="12" spans="1:39" s="74" customFormat="1" x14ac:dyDescent="0.2">
      <c r="A12" s="58" t="s">
        <v>11</v>
      </c>
      <c r="B12" s="18">
        <v>2</v>
      </c>
      <c r="C12" s="18">
        <v>2</v>
      </c>
      <c r="D12" s="18">
        <v>2</v>
      </c>
      <c r="E12" s="18">
        <v>2</v>
      </c>
      <c r="F12" s="19">
        <v>2</v>
      </c>
      <c r="G12" s="20">
        <v>0.49000000000000005</v>
      </c>
      <c r="H12" s="20">
        <v>0.76000000000000012</v>
      </c>
      <c r="I12" s="20">
        <v>2.35</v>
      </c>
      <c r="J12" s="20">
        <v>3.5</v>
      </c>
      <c r="K12" s="19">
        <v>3.5</v>
      </c>
      <c r="L12" s="20">
        <v>1.0215000000000003</v>
      </c>
      <c r="M12" s="20">
        <v>1.5810000000000002</v>
      </c>
      <c r="N12" s="20">
        <v>4.9125000000000005</v>
      </c>
      <c r="O12" s="20">
        <v>7.32</v>
      </c>
      <c r="P12" s="19">
        <v>7.32</v>
      </c>
      <c r="Q12" s="20">
        <v>2.0332500000000002</v>
      </c>
      <c r="R12" s="18">
        <v>3.1425000000000001</v>
      </c>
      <c r="S12" s="18">
        <v>9.7957500000000017</v>
      </c>
      <c r="T12" s="18">
        <v>14.600999999999999</v>
      </c>
      <c r="U12" s="19">
        <v>14.600999999999999</v>
      </c>
      <c r="V12" s="18">
        <v>3.8539125000000007</v>
      </c>
      <c r="W12" s="18">
        <v>5.9522250000000003</v>
      </c>
      <c r="X12" s="18">
        <v>18.584137500000001</v>
      </c>
      <c r="Y12" s="18">
        <v>27.70485</v>
      </c>
      <c r="Z12" s="19">
        <v>27.70485</v>
      </c>
      <c r="AA12" s="241">
        <v>6.9370425000000031</v>
      </c>
      <c r="AB12" s="242">
        <v>10.714005</v>
      </c>
      <c r="AC12" s="242">
        <v>33.451447500000008</v>
      </c>
      <c r="AD12" s="243">
        <v>49.868729999999999</v>
      </c>
      <c r="AE12" s="17">
        <v>49.868729999999999</v>
      </c>
      <c r="AF12" s="15">
        <v>171.95952374999999</v>
      </c>
      <c r="AG12" s="17">
        <v>276.21478237500003</v>
      </c>
      <c r="AH12" s="17">
        <v>417.07501171875003</v>
      </c>
      <c r="AI12" s="17">
        <v>589.96126034999998</v>
      </c>
    </row>
    <row r="13" spans="1:39" s="160" customFormat="1" x14ac:dyDescent="0.2">
      <c r="A13" s="21" t="s">
        <v>12</v>
      </c>
      <c r="B13" s="286">
        <f>B12/'Income Statement'!C8</f>
        <v>0.44444444444444442</v>
      </c>
      <c r="C13" s="286">
        <f>C12/'Income Statement'!D8</f>
        <v>0.2857142857142857</v>
      </c>
      <c r="D13" s="286">
        <f>D12/'Income Statement'!E8</f>
        <v>9.3023255813953487E-2</v>
      </c>
      <c r="E13" s="286">
        <f>E12/'Income Statement'!F8</f>
        <v>6.25E-2</v>
      </c>
      <c r="F13" s="22">
        <f>E13</f>
        <v>6.25E-2</v>
      </c>
      <c r="G13" s="286">
        <f>G12/'Income Statement'!H8</f>
        <v>0.05</v>
      </c>
      <c r="H13" s="286">
        <f>H12/'Income Statement'!I8</f>
        <v>0.05</v>
      </c>
      <c r="I13" s="286">
        <f>I12/'Income Statement'!J8</f>
        <v>0.05</v>
      </c>
      <c r="J13" s="286">
        <f>J12/'Income Statement'!K8</f>
        <v>0.05</v>
      </c>
      <c r="K13" s="22">
        <f>J13</f>
        <v>0.05</v>
      </c>
      <c r="L13" s="286">
        <f>L12/'Income Statement'!M8</f>
        <v>5.000000000000001E-2</v>
      </c>
      <c r="M13" s="286">
        <f>M12/'Income Statement'!N8</f>
        <v>0.05</v>
      </c>
      <c r="N13" s="286">
        <f>N12/'Income Statement'!O8</f>
        <v>0.05</v>
      </c>
      <c r="O13" s="286">
        <f>O12/'Income Statement'!P8</f>
        <v>0.05</v>
      </c>
      <c r="P13" s="22">
        <f>O13</f>
        <v>0.05</v>
      </c>
      <c r="Q13" s="286">
        <f>Q12/'Income Statement'!R8</f>
        <v>4.9999999999999996E-2</v>
      </c>
      <c r="R13" s="286">
        <f>R12/'Income Statement'!S8</f>
        <v>0.05</v>
      </c>
      <c r="S13" s="286">
        <f>S12/'Income Statement'!T8</f>
        <v>0.05</v>
      </c>
      <c r="T13" s="286">
        <f>T12/'Income Statement'!U8</f>
        <v>0.05</v>
      </c>
      <c r="U13" s="22">
        <f>T13</f>
        <v>0.05</v>
      </c>
      <c r="V13" s="287">
        <f>V12/'Income Statement'!W8</f>
        <v>0.05</v>
      </c>
      <c r="W13" s="288">
        <f>W12/'Income Statement'!X8</f>
        <v>0.05</v>
      </c>
      <c r="X13" s="288">
        <f>X12/'Income Statement'!Y8</f>
        <v>0.05</v>
      </c>
      <c r="Y13" s="289">
        <f>Y12/'Income Statement'!Z8</f>
        <v>0.05</v>
      </c>
      <c r="Z13" s="22">
        <f>Y13</f>
        <v>0.05</v>
      </c>
      <c r="AA13" s="286">
        <f>AA12/'Income Statement'!AB8</f>
        <v>0.05</v>
      </c>
      <c r="AB13" s="286">
        <f>AB12/'Income Statement'!AC8</f>
        <v>0.05</v>
      </c>
      <c r="AC13" s="286">
        <f>AC12/'Income Statement'!AD8</f>
        <v>0.05</v>
      </c>
      <c r="AD13" s="286">
        <f>AD12/'Income Statement'!AE8</f>
        <v>0.05</v>
      </c>
      <c r="AE13" s="22">
        <f>AD13</f>
        <v>0.05</v>
      </c>
      <c r="AF13" s="290">
        <f>AF12/'Income Statement'!AG8</f>
        <v>4.9999999999999996E-2</v>
      </c>
      <c r="AG13" s="290">
        <f>AG12/'Income Statement'!AH8</f>
        <v>0.05</v>
      </c>
      <c r="AH13" s="290">
        <f>AH12/'Income Statement'!AI8</f>
        <v>0.05</v>
      </c>
      <c r="AI13" s="290">
        <f>AI12/'Income Statement'!AJ8</f>
        <v>0.05</v>
      </c>
    </row>
    <row r="14" spans="1:39" s="161" customFormat="1" x14ac:dyDescent="0.2">
      <c r="A14" s="23" t="s">
        <v>13</v>
      </c>
      <c r="B14" s="24">
        <v>2</v>
      </c>
      <c r="C14" s="24">
        <v>2</v>
      </c>
      <c r="D14" s="24">
        <v>2</v>
      </c>
      <c r="E14" s="24">
        <v>2</v>
      </c>
      <c r="F14" s="25">
        <v>2</v>
      </c>
      <c r="G14" s="24">
        <v>1.0780000000000001</v>
      </c>
      <c r="H14" s="24">
        <v>1.6720000000000002</v>
      </c>
      <c r="I14" s="24">
        <v>5.17</v>
      </c>
      <c r="J14" s="24">
        <v>7.7</v>
      </c>
      <c r="K14" s="25">
        <v>7.7</v>
      </c>
      <c r="L14" s="24">
        <v>2.2473000000000005</v>
      </c>
      <c r="M14" s="24">
        <v>3.4782000000000002</v>
      </c>
      <c r="N14" s="24">
        <v>10.807499999999999</v>
      </c>
      <c r="O14" s="24">
        <v>16.103999999999999</v>
      </c>
      <c r="P14" s="25">
        <v>16.103999999999999</v>
      </c>
      <c r="Q14" s="24">
        <v>4.4731500000000004</v>
      </c>
      <c r="R14" s="24">
        <v>6.9135</v>
      </c>
      <c r="S14" s="24">
        <v>21.550650000000001</v>
      </c>
      <c r="T14" s="24">
        <v>32.122199999999999</v>
      </c>
      <c r="U14" s="25">
        <v>32.122199999999999</v>
      </c>
      <c r="V14" s="24">
        <v>8.4786075000000007</v>
      </c>
      <c r="W14" s="24">
        <v>13.094894999999999</v>
      </c>
      <c r="X14" s="24">
        <v>40.885102500000002</v>
      </c>
      <c r="Y14" s="24">
        <v>60.950669999999995</v>
      </c>
      <c r="Z14" s="25">
        <v>60.950669999999995</v>
      </c>
      <c r="AA14" s="26">
        <f>AA15*'Income Statement'!AB8</f>
        <v>15.261493500000006</v>
      </c>
      <c r="AB14" s="26">
        <f>AB15*'Income Statement'!AC8</f>
        <v>23.570810999999999</v>
      </c>
      <c r="AC14" s="26">
        <f>AC15*'Income Statement'!AD8</f>
        <v>73.593184500000021</v>
      </c>
      <c r="AD14" s="26">
        <f>AD15*'Income Statement'!AE8</f>
        <v>109.71120599999999</v>
      </c>
      <c r="AE14" s="27">
        <v>109.71120599999999</v>
      </c>
      <c r="AF14" s="239">
        <f>AF15*'Income Statement'!AG8</f>
        <v>378.31095225000001</v>
      </c>
      <c r="AG14" s="17">
        <f>AG15*'Income Statement'!AH8</f>
        <v>607.67252122499997</v>
      </c>
      <c r="AH14" s="17">
        <f>AH15*'Income Statement'!AI8</f>
        <v>917.56502578125003</v>
      </c>
      <c r="AI14" s="17">
        <f>AI15*'Income Statement'!AJ8</f>
        <v>1297.9147727699999</v>
      </c>
    </row>
    <row r="15" spans="1:39" s="160" customFormat="1" ht="15" thickBot="1" x14ac:dyDescent="0.25">
      <c r="A15" s="21" t="s">
        <v>14</v>
      </c>
      <c r="B15" s="286">
        <f>B14/'Income Statement'!C8</f>
        <v>0.44444444444444442</v>
      </c>
      <c r="C15" s="286">
        <f>C14/'Income Statement'!D8</f>
        <v>0.2857142857142857</v>
      </c>
      <c r="D15" s="286">
        <f>D14/'Income Statement'!E8</f>
        <v>9.3023255813953487E-2</v>
      </c>
      <c r="E15" s="286">
        <f>E14/'Income Statement'!F8</f>
        <v>6.25E-2</v>
      </c>
      <c r="F15" s="22">
        <f>E15</f>
        <v>6.25E-2</v>
      </c>
      <c r="G15" s="286">
        <f>G14/'Income Statement'!H8</f>
        <v>0.11</v>
      </c>
      <c r="H15" s="286">
        <f>H14/'Income Statement'!I8</f>
        <v>0.11</v>
      </c>
      <c r="I15" s="286">
        <f>I14/'Income Statement'!J8</f>
        <v>0.11</v>
      </c>
      <c r="J15" s="286">
        <f>J14/'Income Statement'!K8</f>
        <v>0.11</v>
      </c>
      <c r="K15" s="22">
        <f>J15</f>
        <v>0.11</v>
      </c>
      <c r="L15" s="286">
        <f>L14/'Income Statement'!M8</f>
        <v>0.11000000000000001</v>
      </c>
      <c r="M15" s="286">
        <f>M14/'Income Statement'!N8</f>
        <v>0.11</v>
      </c>
      <c r="N15" s="286">
        <f>N14/'Income Statement'!O8</f>
        <v>0.10999999999999999</v>
      </c>
      <c r="O15" s="286">
        <f>O14/'Income Statement'!P8</f>
        <v>0.10999999999999999</v>
      </c>
      <c r="P15" s="22">
        <f>O15</f>
        <v>0.10999999999999999</v>
      </c>
      <c r="Q15" s="286">
        <f>Q14/'Income Statement'!R8</f>
        <v>0.10999999999999999</v>
      </c>
      <c r="R15" s="286">
        <f>R14/'Income Statement'!S8</f>
        <v>0.11</v>
      </c>
      <c r="S15" s="286">
        <f>S14/'Income Statement'!T8</f>
        <v>0.10999999999999999</v>
      </c>
      <c r="T15" s="286">
        <f>T14/'Income Statement'!U8</f>
        <v>0.11</v>
      </c>
      <c r="U15" s="22">
        <f>T15</f>
        <v>0.11</v>
      </c>
      <c r="V15" s="286">
        <f>V14/'Income Statement'!W8</f>
        <v>0.10999999999999999</v>
      </c>
      <c r="W15" s="286">
        <f>W14/'Income Statement'!X8</f>
        <v>0.11</v>
      </c>
      <c r="X15" s="286">
        <f>X14/'Income Statement'!Y8</f>
        <v>0.11</v>
      </c>
      <c r="Y15" s="286">
        <f>Y14/'Income Statement'!Z8</f>
        <v>0.11</v>
      </c>
      <c r="Z15" s="22">
        <f>Y15</f>
        <v>0.11</v>
      </c>
      <c r="AA15" s="291">
        <v>0.11</v>
      </c>
      <c r="AB15" s="292">
        <v>0.11</v>
      </c>
      <c r="AC15" s="292">
        <v>0.11</v>
      </c>
      <c r="AD15" s="293">
        <v>0.11</v>
      </c>
      <c r="AE15" s="22">
        <f>AD15</f>
        <v>0.11</v>
      </c>
      <c r="AF15" s="294">
        <v>0.11</v>
      </c>
      <c r="AG15" s="294">
        <v>0.11</v>
      </c>
      <c r="AH15" s="294">
        <v>0.11</v>
      </c>
      <c r="AI15" s="294">
        <v>0.11</v>
      </c>
    </row>
    <row r="16" spans="1:39" s="162" customFormat="1" ht="15" thickBot="1" x14ac:dyDescent="0.25">
      <c r="A16" s="295" t="s">
        <v>15</v>
      </c>
      <c r="B16" s="28">
        <f t="shared" ref="B16:AH16" si="0">B14+B12+B11+B10</f>
        <v>107.045125</v>
      </c>
      <c r="C16" s="28">
        <f t="shared" si="0"/>
        <v>95.392124999999993</v>
      </c>
      <c r="D16" s="28">
        <f t="shared" si="0"/>
        <v>96.029124999999993</v>
      </c>
      <c r="E16" s="28">
        <f t="shared" si="0"/>
        <v>110.15894999999999</v>
      </c>
      <c r="F16" s="29">
        <f t="shared" si="0"/>
        <v>110.15894999999999</v>
      </c>
      <c r="G16" s="28">
        <f t="shared" si="0"/>
        <v>75.509950000000018</v>
      </c>
      <c r="H16" s="28">
        <f t="shared" si="0"/>
        <v>76.580950000000016</v>
      </c>
      <c r="I16" s="28">
        <f t="shared" si="0"/>
        <v>81.649950000000004</v>
      </c>
      <c r="J16" s="28">
        <f t="shared" si="0"/>
        <v>90.264949999999999</v>
      </c>
      <c r="K16" s="29">
        <f t="shared" si="0"/>
        <v>90.264949999999999</v>
      </c>
      <c r="L16" s="28">
        <f t="shared" si="0"/>
        <v>90.442619999999991</v>
      </c>
      <c r="M16" s="28">
        <f t="shared" si="0"/>
        <v>93.998499999999993</v>
      </c>
      <c r="N16" s="28">
        <f t="shared" si="0"/>
        <v>108.47914999999999</v>
      </c>
      <c r="O16" s="28">
        <f t="shared" si="0"/>
        <v>129.09824999999998</v>
      </c>
      <c r="P16" s="29">
        <f t="shared" si="0"/>
        <v>129.09824999999998</v>
      </c>
      <c r="Q16" s="296">
        <f t="shared" si="0"/>
        <v>131.82691</v>
      </c>
      <c r="R16" s="297">
        <f t="shared" si="0"/>
        <v>142.25335999999999</v>
      </c>
      <c r="S16" s="297">
        <f t="shared" si="0"/>
        <v>179.15951999999999</v>
      </c>
      <c r="T16" s="298">
        <f t="shared" si="0"/>
        <v>231.67914999999999</v>
      </c>
      <c r="U16" s="29">
        <f t="shared" si="0"/>
        <v>231.67914999999999</v>
      </c>
      <c r="V16" s="28">
        <f t="shared" si="0"/>
        <v>240.71165341250003</v>
      </c>
      <c r="W16" s="28">
        <f t="shared" si="0"/>
        <v>266.39020841249999</v>
      </c>
      <c r="X16" s="28">
        <f t="shared" si="0"/>
        <v>351.03855066249997</v>
      </c>
      <c r="Y16" s="28">
        <f t="shared" si="0"/>
        <v>471.56701816250001</v>
      </c>
      <c r="Z16" s="29">
        <f t="shared" si="0"/>
        <v>471.56701816250001</v>
      </c>
      <c r="AA16" s="299">
        <f t="shared" si="0"/>
        <v>492.34660106250004</v>
      </c>
      <c r="AB16" s="299">
        <f t="shared" si="0"/>
        <v>546.28462296249995</v>
      </c>
      <c r="AC16" s="299">
        <f t="shared" si="0"/>
        <v>722.55765226250003</v>
      </c>
      <c r="AD16" s="299">
        <f t="shared" si="0"/>
        <v>975.15492416249981</v>
      </c>
      <c r="AE16" s="60">
        <f t="shared" si="0"/>
        <v>975.15492416249981</v>
      </c>
      <c r="AF16" s="299">
        <f t="shared" si="0"/>
        <v>2004.7060429375001</v>
      </c>
      <c r="AG16" s="300">
        <f t="shared" si="0"/>
        <v>3798.6505314275</v>
      </c>
      <c r="AH16" s="300">
        <f t="shared" si="0"/>
        <v>6791.1127508306254</v>
      </c>
      <c r="AI16" s="300">
        <f>AI14+AI12+AI11+AI10</f>
        <v>11422.509479497376</v>
      </c>
    </row>
    <row r="17" spans="1:35" s="74" customFormat="1" x14ac:dyDescent="0.2">
      <c r="A17" s="57" t="s">
        <v>16</v>
      </c>
      <c r="B17" s="14"/>
      <c r="C17" s="14"/>
      <c r="D17" s="14"/>
      <c r="E17" s="12"/>
      <c r="F17" s="13"/>
      <c r="G17" s="14"/>
      <c r="H17" s="14"/>
      <c r="I17" s="14"/>
      <c r="J17" s="14"/>
      <c r="K17" s="13"/>
      <c r="L17" s="14"/>
      <c r="M17" s="14"/>
      <c r="N17" s="14"/>
      <c r="O17" s="14"/>
      <c r="P17" s="13"/>
      <c r="Q17" s="14"/>
      <c r="R17" s="14"/>
      <c r="S17" s="14"/>
      <c r="T17" s="14"/>
      <c r="U17" s="13"/>
      <c r="V17" s="14"/>
      <c r="W17" s="14"/>
      <c r="X17" s="14"/>
      <c r="Y17" s="14"/>
      <c r="Z17" s="13"/>
      <c r="AA17" s="31"/>
      <c r="AB17" s="31"/>
      <c r="AC17" s="31"/>
      <c r="AD17" s="31"/>
      <c r="AE17" s="17"/>
      <c r="AF17" s="31"/>
      <c r="AG17" s="17"/>
      <c r="AH17" s="17"/>
      <c r="AI17" s="17"/>
    </row>
    <row r="18" spans="1:35" s="74" customFormat="1" x14ac:dyDescent="0.2">
      <c r="A18" s="32" t="s">
        <v>70</v>
      </c>
      <c r="B18" s="15">
        <f>B20-B19</f>
        <v>0.22500000000000001</v>
      </c>
      <c r="C18" s="15">
        <f>B18-C19+C20</f>
        <v>0.57500000000000007</v>
      </c>
      <c r="D18" s="15">
        <f>C18-D19+D20</f>
        <v>1.65</v>
      </c>
      <c r="E18" s="15">
        <f>D18-E19+E20</f>
        <v>3.25</v>
      </c>
      <c r="F18" s="13">
        <f>E18</f>
        <v>3.25</v>
      </c>
      <c r="G18" s="15">
        <f>E18-G19+G20</f>
        <v>3.7399999999999998</v>
      </c>
      <c r="H18" s="15">
        <f>G18-H19+H20</f>
        <v>4.5</v>
      </c>
      <c r="I18" s="15">
        <f>H18-I19+I20</f>
        <v>6.85</v>
      </c>
      <c r="J18" s="15">
        <f>I18-J19+J20</f>
        <v>10.35</v>
      </c>
      <c r="K18" s="13">
        <f>J18</f>
        <v>10.35</v>
      </c>
      <c r="L18" s="15">
        <f>J18-L19+L20</f>
        <v>11.371500000000001</v>
      </c>
      <c r="M18" s="15">
        <f>L18-M19+M20</f>
        <v>12.952500000000002</v>
      </c>
      <c r="N18" s="15">
        <f>M18-N19+N20</f>
        <v>17.865000000000002</v>
      </c>
      <c r="O18" s="15">
        <f>N18-O19+O20</f>
        <v>25.185000000000002</v>
      </c>
      <c r="P18" s="13">
        <f>O18</f>
        <v>25.185000000000002</v>
      </c>
      <c r="Q18" s="15">
        <f>O18-Q19+Q20</f>
        <v>27.218250000000005</v>
      </c>
      <c r="R18" s="15">
        <f>Q18-R19+R20</f>
        <v>30.360750000000007</v>
      </c>
      <c r="S18" s="15">
        <f>R18-S19+S20</f>
        <v>40.156500000000008</v>
      </c>
      <c r="T18" s="15">
        <f>S18-T19+T20</f>
        <v>54.757500000000007</v>
      </c>
      <c r="U18" s="13">
        <f>T18</f>
        <v>54.757500000000007</v>
      </c>
      <c r="V18" s="15">
        <f>T18-V19+V20</f>
        <v>58.611412500000007</v>
      </c>
      <c r="W18" s="15">
        <f>V18-W19+W20</f>
        <v>64.563637500000013</v>
      </c>
      <c r="X18" s="15">
        <f>W18-X19+X20</f>
        <v>83.147775000000024</v>
      </c>
      <c r="Y18" s="15">
        <f>X18-Y19+Y20</f>
        <v>110.85262500000002</v>
      </c>
      <c r="Z18" s="13">
        <f>Y18</f>
        <v>110.85262500000002</v>
      </c>
      <c r="AA18" s="15">
        <f>Y18-AA19+AA20</f>
        <v>117.78966750000002</v>
      </c>
      <c r="AB18" s="15">
        <f>AA18-AB19+AB20</f>
        <v>128.50367250000002</v>
      </c>
      <c r="AC18" s="15">
        <f>AB18-AC19+AC20</f>
        <v>161.95512000000002</v>
      </c>
      <c r="AD18" s="15">
        <f>AC18-AD19+AD20</f>
        <v>211.82385000000002</v>
      </c>
      <c r="AE18" s="17">
        <f>AD18</f>
        <v>211.82385000000002</v>
      </c>
      <c r="AF18" s="15">
        <f>AD18-AF19+AF20</f>
        <v>383.78337375000001</v>
      </c>
      <c r="AG18" s="17">
        <f>AF18-AG19+AG20</f>
        <v>659.99815612500004</v>
      </c>
      <c r="AH18" s="17">
        <f>AG18-AH19+AH20</f>
        <v>1077.0731678437501</v>
      </c>
      <c r="AI18" s="17">
        <f>AH18-AI19+AI20</f>
        <v>1667.03442819375</v>
      </c>
    </row>
    <row r="19" spans="1:35" s="74" customFormat="1" x14ac:dyDescent="0.2">
      <c r="A19" s="36" t="s">
        <v>69</v>
      </c>
      <c r="B19" s="37">
        <f>'Income Statement'!C23</f>
        <v>0.22500000000000001</v>
      </c>
      <c r="C19" s="37">
        <f>'Income Statement'!D23</f>
        <v>0.35000000000000003</v>
      </c>
      <c r="D19" s="37">
        <f>'Income Statement'!E23</f>
        <v>1.075</v>
      </c>
      <c r="E19" s="38">
        <f>'Income Statement'!F23</f>
        <v>1.6</v>
      </c>
      <c r="F19" s="39">
        <f>'Income Statement'!G23</f>
        <v>3.25</v>
      </c>
      <c r="G19" s="40">
        <f>'Income Statement'!H23</f>
        <v>0.49000000000000005</v>
      </c>
      <c r="H19" s="40">
        <f>'Income Statement'!I23</f>
        <v>0.76000000000000012</v>
      </c>
      <c r="I19" s="40">
        <f>'Income Statement'!J23</f>
        <v>2.35</v>
      </c>
      <c r="J19" s="40">
        <f>'Income Statement'!K23</f>
        <v>3.5</v>
      </c>
      <c r="K19" s="39">
        <f>'Income Statement'!L23</f>
        <v>7.1000000000000005</v>
      </c>
      <c r="L19" s="40">
        <f>'Income Statement'!M23</f>
        <v>1.0215000000000003</v>
      </c>
      <c r="M19" s="40">
        <f>'Income Statement'!N23</f>
        <v>1.5810000000000002</v>
      </c>
      <c r="N19" s="40">
        <f>'Income Statement'!O23</f>
        <v>4.9125000000000005</v>
      </c>
      <c r="O19" s="40">
        <f>'Income Statement'!P23</f>
        <v>7.32</v>
      </c>
      <c r="P19" s="39">
        <f>'Income Statement'!Q23</f>
        <v>14.835000000000001</v>
      </c>
      <c r="Q19" s="40">
        <f>'Income Statement'!R23</f>
        <v>2.0332500000000002</v>
      </c>
      <c r="R19" s="40">
        <f>'Income Statement'!S23</f>
        <v>3.1425000000000001</v>
      </c>
      <c r="S19" s="40">
        <f>'Income Statement'!T23</f>
        <v>9.7957500000000017</v>
      </c>
      <c r="T19" s="40">
        <f>'Income Statement'!U23</f>
        <v>14.600999999999999</v>
      </c>
      <c r="U19" s="39">
        <f>'Income Statement'!V23</f>
        <v>29.572500000000002</v>
      </c>
      <c r="V19" s="40">
        <f>'Income Statement'!W23</f>
        <v>3.8539125000000007</v>
      </c>
      <c r="W19" s="40">
        <f>'Income Statement'!X23</f>
        <v>5.9522250000000003</v>
      </c>
      <c r="X19" s="40">
        <f>'Income Statement'!Y23</f>
        <v>18.584137500000001</v>
      </c>
      <c r="Y19" s="40">
        <f>'Income Statement'!Z23</f>
        <v>27.70485</v>
      </c>
      <c r="Z19" s="39">
        <f>'Income Statement'!AA23</f>
        <v>56.095125000000003</v>
      </c>
      <c r="AA19" s="236">
        <f>'Income Statement'!AB23</f>
        <v>6.9370425000000031</v>
      </c>
      <c r="AB19" s="237">
        <f>'Income Statement'!AC23</f>
        <v>10.714005</v>
      </c>
      <c r="AC19" s="237">
        <f>'Income Statement'!AD23</f>
        <v>33.451447500000008</v>
      </c>
      <c r="AD19" s="238">
        <f>'Income Statement'!AE23</f>
        <v>49.868729999999999</v>
      </c>
      <c r="AE19" s="39">
        <f>'Income Statement'!AF23</f>
        <v>100.971225</v>
      </c>
      <c r="AF19" s="40">
        <f>'Income Statement'!AG23</f>
        <v>171.95952375000002</v>
      </c>
      <c r="AG19" s="39">
        <f>'Income Statement'!AH23</f>
        <v>276.21478237500003</v>
      </c>
      <c r="AH19" s="39">
        <f>'Income Statement'!AI23</f>
        <v>417.07501171875003</v>
      </c>
      <c r="AI19" s="39">
        <f>'Income Statement'!AJ23</f>
        <v>589.96126034999998</v>
      </c>
    </row>
    <row r="20" spans="1:35" s="74" customFormat="1" x14ac:dyDescent="0.2">
      <c r="A20" s="36" t="s">
        <v>83</v>
      </c>
      <c r="B20" s="190">
        <v>0.45</v>
      </c>
      <c r="C20" s="190">
        <v>0.70000000000000007</v>
      </c>
      <c r="D20" s="190">
        <v>2.15</v>
      </c>
      <c r="E20" s="190">
        <v>3.2</v>
      </c>
      <c r="F20" s="191">
        <v>6.5</v>
      </c>
      <c r="G20" s="190">
        <v>0.98000000000000009</v>
      </c>
      <c r="H20" s="190">
        <v>1.5200000000000002</v>
      </c>
      <c r="I20" s="190">
        <v>4.7</v>
      </c>
      <c r="J20" s="190">
        <v>7</v>
      </c>
      <c r="K20" s="191">
        <v>14.200000000000001</v>
      </c>
      <c r="L20" s="190">
        <v>2.0430000000000006</v>
      </c>
      <c r="M20" s="190">
        <v>3.1620000000000004</v>
      </c>
      <c r="N20" s="190">
        <v>9.8250000000000011</v>
      </c>
      <c r="O20" s="190">
        <v>14.64</v>
      </c>
      <c r="P20" s="191">
        <v>29.67</v>
      </c>
      <c r="Q20" s="190">
        <v>4.0665000000000004</v>
      </c>
      <c r="R20" s="190">
        <v>6.2850000000000001</v>
      </c>
      <c r="S20" s="190">
        <v>19.591500000000003</v>
      </c>
      <c r="T20" s="190">
        <v>29.201999999999998</v>
      </c>
      <c r="U20" s="191">
        <v>59.145000000000003</v>
      </c>
      <c r="V20" s="190">
        <v>7.7078250000000015</v>
      </c>
      <c r="W20" s="190">
        <v>11.904450000000001</v>
      </c>
      <c r="X20" s="190">
        <v>37.168275000000001</v>
      </c>
      <c r="Y20" s="190">
        <v>55.409700000000001</v>
      </c>
      <c r="Z20" s="191">
        <v>112.19025000000001</v>
      </c>
      <c r="AA20" s="190">
        <v>13.874085000000006</v>
      </c>
      <c r="AB20" s="190">
        <v>21.42801</v>
      </c>
      <c r="AC20" s="190">
        <v>66.902895000000015</v>
      </c>
      <c r="AD20" s="190">
        <v>99.737459999999999</v>
      </c>
      <c r="AE20" s="191">
        <v>201.94245000000001</v>
      </c>
      <c r="AF20" s="191">
        <v>343.91904750000003</v>
      </c>
      <c r="AG20" s="191">
        <v>552.42956475000005</v>
      </c>
      <c r="AH20" s="191">
        <v>834.15002343750007</v>
      </c>
      <c r="AI20" s="191">
        <v>1179.9225207</v>
      </c>
    </row>
    <row r="21" spans="1:35" s="160" customFormat="1" x14ac:dyDescent="0.2">
      <c r="A21" s="21"/>
      <c r="B21" s="286"/>
      <c r="C21" s="286"/>
      <c r="D21" s="286"/>
      <c r="E21" s="286"/>
      <c r="F21" s="22"/>
      <c r="G21" s="286"/>
      <c r="H21" s="286"/>
      <c r="I21" s="286"/>
      <c r="J21" s="286"/>
      <c r="K21" s="22"/>
      <c r="L21" s="286"/>
      <c r="M21" s="286"/>
      <c r="N21" s="286"/>
      <c r="O21" s="286"/>
      <c r="P21" s="22"/>
      <c r="Q21" s="286"/>
      <c r="R21" s="286"/>
      <c r="S21" s="286"/>
      <c r="T21" s="286"/>
      <c r="U21" s="22"/>
      <c r="V21" s="287"/>
      <c r="W21" s="288"/>
      <c r="X21" s="288"/>
      <c r="Y21" s="289"/>
      <c r="Z21" s="22"/>
      <c r="AA21" s="286"/>
      <c r="AB21" s="286"/>
      <c r="AC21" s="286"/>
      <c r="AD21" s="286"/>
      <c r="AE21" s="301"/>
      <c r="AF21" s="302"/>
      <c r="AG21" s="303"/>
      <c r="AH21" s="303"/>
      <c r="AI21" s="303"/>
    </row>
    <row r="22" spans="1:35" s="163" customFormat="1" x14ac:dyDescent="0.2">
      <c r="A22" s="23"/>
      <c r="B22" s="41"/>
      <c r="C22" s="41"/>
      <c r="D22" s="41"/>
      <c r="E22" s="42"/>
      <c r="F22" s="43"/>
      <c r="G22" s="41"/>
      <c r="H22" s="41"/>
      <c r="I22" s="41"/>
      <c r="J22" s="41"/>
      <c r="K22" s="43"/>
      <c r="L22" s="41"/>
      <c r="M22" s="41"/>
      <c r="N22" s="41"/>
      <c r="O22" s="41"/>
      <c r="P22" s="43"/>
      <c r="Q22" s="41"/>
      <c r="R22" s="41"/>
      <c r="S22" s="41"/>
      <c r="T22" s="41"/>
      <c r="U22" s="43"/>
      <c r="V22" s="41"/>
      <c r="W22" s="41"/>
      <c r="X22" s="41"/>
      <c r="Y22" s="41"/>
      <c r="Z22" s="43"/>
      <c r="AA22" s="44"/>
      <c r="AB22" s="44"/>
      <c r="AC22" s="44"/>
      <c r="AD22" s="44"/>
      <c r="AE22" s="45"/>
      <c r="AF22" s="44"/>
      <c r="AG22" s="46"/>
      <c r="AH22" s="46"/>
      <c r="AI22" s="46"/>
    </row>
    <row r="23" spans="1:35" s="162" customFormat="1" ht="15" thickBot="1" x14ac:dyDescent="0.25">
      <c r="A23" s="304" t="s">
        <v>17</v>
      </c>
      <c r="B23" s="47">
        <f>B18</f>
        <v>0.22500000000000001</v>
      </c>
      <c r="C23" s="47">
        <f>C18</f>
        <v>0.57500000000000007</v>
      </c>
      <c r="D23" s="47">
        <f>D18</f>
        <v>1.65</v>
      </c>
      <c r="E23" s="47">
        <f>E18</f>
        <v>3.25</v>
      </c>
      <c r="F23" s="48">
        <f>E23</f>
        <v>3.25</v>
      </c>
      <c r="G23" s="47">
        <f>G18</f>
        <v>3.7399999999999998</v>
      </c>
      <c r="H23" s="47">
        <f>H18</f>
        <v>4.5</v>
      </c>
      <c r="I23" s="47">
        <f>I18</f>
        <v>6.85</v>
      </c>
      <c r="J23" s="47">
        <f>J18</f>
        <v>10.35</v>
      </c>
      <c r="K23" s="48">
        <f t="shared" ref="K23:K42" si="1">J23</f>
        <v>10.35</v>
      </c>
      <c r="L23" s="47">
        <f>L18</f>
        <v>11.371500000000001</v>
      </c>
      <c r="M23" s="47">
        <f>M18</f>
        <v>12.952500000000002</v>
      </c>
      <c r="N23" s="47">
        <f>N18</f>
        <v>17.865000000000002</v>
      </c>
      <c r="O23" s="47">
        <f>O18</f>
        <v>25.185000000000002</v>
      </c>
      <c r="P23" s="48">
        <f t="shared" ref="P23:P42" si="2">O23</f>
        <v>25.185000000000002</v>
      </c>
      <c r="Q23" s="47">
        <f>Q18</f>
        <v>27.218250000000005</v>
      </c>
      <c r="R23" s="47">
        <f>R18</f>
        <v>30.360750000000007</v>
      </c>
      <c r="S23" s="47">
        <f>S18</f>
        <v>40.156500000000008</v>
      </c>
      <c r="T23" s="47">
        <f>T18</f>
        <v>54.757500000000007</v>
      </c>
      <c r="U23" s="48">
        <f t="shared" ref="U23:U42" si="3">T23</f>
        <v>54.757500000000007</v>
      </c>
      <c r="V23" s="47">
        <f>V18</f>
        <v>58.611412500000007</v>
      </c>
      <c r="W23" s="47">
        <f>W18</f>
        <v>64.563637500000013</v>
      </c>
      <c r="X23" s="47">
        <f>X18</f>
        <v>83.147775000000024</v>
      </c>
      <c r="Y23" s="47">
        <f>Y18</f>
        <v>110.85262500000002</v>
      </c>
      <c r="Z23" s="48">
        <f t="shared" ref="Z23:Z42" si="4">Y23</f>
        <v>110.85262500000002</v>
      </c>
      <c r="AA23" s="49">
        <f>AA18</f>
        <v>117.78966750000002</v>
      </c>
      <c r="AB23" s="49">
        <f>AB18</f>
        <v>128.50367250000002</v>
      </c>
      <c r="AC23" s="49">
        <f>AC18</f>
        <v>161.95512000000002</v>
      </c>
      <c r="AD23" s="49">
        <f>AD18</f>
        <v>211.82385000000002</v>
      </c>
      <c r="AE23" s="50">
        <f>AD23</f>
        <v>211.82385000000002</v>
      </c>
      <c r="AF23" s="49">
        <f>AF18</f>
        <v>383.78337375000001</v>
      </c>
      <c r="AG23" s="50">
        <f>AG18</f>
        <v>659.99815612500004</v>
      </c>
      <c r="AH23" s="50">
        <f>AH18</f>
        <v>1077.0731678437501</v>
      </c>
      <c r="AI23" s="50">
        <f>AI18</f>
        <v>1667.03442819375</v>
      </c>
    </row>
    <row r="24" spans="1:35" s="164" customFormat="1" ht="15" thickBot="1" x14ac:dyDescent="0.25">
      <c r="A24" s="305" t="s">
        <v>18</v>
      </c>
      <c r="B24" s="51">
        <f>B23+B16</f>
        <v>107.27012499999999</v>
      </c>
      <c r="C24" s="51">
        <f>C23+C16</f>
        <v>95.967124999999996</v>
      </c>
      <c r="D24" s="51">
        <f>D23+D16</f>
        <v>97.679124999999999</v>
      </c>
      <c r="E24" s="51">
        <f>E23+E16</f>
        <v>113.40894999999999</v>
      </c>
      <c r="F24" s="52">
        <f>E24</f>
        <v>113.40894999999999</v>
      </c>
      <c r="G24" s="51">
        <f>G23+G16</f>
        <v>79.249950000000013</v>
      </c>
      <c r="H24" s="51">
        <f>H23+H16</f>
        <v>81.080950000000016</v>
      </c>
      <c r="I24" s="51">
        <f>I23+I16</f>
        <v>88.499949999999998</v>
      </c>
      <c r="J24" s="51">
        <f>J23+J16</f>
        <v>100.61494999999999</v>
      </c>
      <c r="K24" s="52">
        <f t="shared" si="1"/>
        <v>100.61494999999999</v>
      </c>
      <c r="L24" s="51">
        <f>L23+L16</f>
        <v>101.81411999999999</v>
      </c>
      <c r="M24" s="51">
        <f>M23+M16</f>
        <v>106.95099999999999</v>
      </c>
      <c r="N24" s="51">
        <f>N23+N16</f>
        <v>126.34414999999998</v>
      </c>
      <c r="O24" s="51">
        <f>O23+O16</f>
        <v>154.28324999999998</v>
      </c>
      <c r="P24" s="52">
        <f t="shared" si="2"/>
        <v>154.28324999999998</v>
      </c>
      <c r="Q24" s="51">
        <f>Q23+Q16</f>
        <v>159.04516000000001</v>
      </c>
      <c r="R24" s="51">
        <f>R23+R16</f>
        <v>172.61410999999998</v>
      </c>
      <c r="S24" s="51">
        <f>S23+S16</f>
        <v>219.31601999999998</v>
      </c>
      <c r="T24" s="51">
        <f>T23+T16</f>
        <v>286.43664999999999</v>
      </c>
      <c r="U24" s="52">
        <f t="shared" si="3"/>
        <v>286.43664999999999</v>
      </c>
      <c r="V24" s="51">
        <f>V23+V16</f>
        <v>299.32306591250006</v>
      </c>
      <c r="W24" s="51">
        <f>W23+W16</f>
        <v>330.95384591250001</v>
      </c>
      <c r="X24" s="51">
        <f>X23+X16</f>
        <v>434.1863256625</v>
      </c>
      <c r="Y24" s="51">
        <f>Y23+Y16</f>
        <v>582.41964316250005</v>
      </c>
      <c r="Z24" s="52">
        <f t="shared" si="4"/>
        <v>582.41964316250005</v>
      </c>
      <c r="AA24" s="53">
        <f>AA23+AA16</f>
        <v>610.13626856250005</v>
      </c>
      <c r="AB24" s="53">
        <f>AB23+AB16</f>
        <v>674.78829546249995</v>
      </c>
      <c r="AC24" s="53">
        <f>AC23+AC16</f>
        <v>884.51277226249999</v>
      </c>
      <c r="AD24" s="53">
        <f>AD23+AD16</f>
        <v>1186.9787741624998</v>
      </c>
      <c r="AE24" s="54">
        <f>AD24</f>
        <v>1186.9787741624998</v>
      </c>
      <c r="AF24" s="53">
        <f>AF23+AF16</f>
        <v>2388.4894166875001</v>
      </c>
      <c r="AG24" s="54">
        <f>AG23+AG16</f>
        <v>4458.6486875524997</v>
      </c>
      <c r="AH24" s="54">
        <f>AH23+AH16</f>
        <v>7868.185918674375</v>
      </c>
      <c r="AI24" s="54">
        <f>AI23+AI16</f>
        <v>13089.543907691126</v>
      </c>
    </row>
    <row r="25" spans="1:35" s="74" customFormat="1" x14ac:dyDescent="0.2">
      <c r="A25" s="55"/>
      <c r="B25" s="14"/>
      <c r="C25" s="14"/>
      <c r="D25" s="14"/>
      <c r="E25" s="12"/>
      <c r="F25" s="13"/>
      <c r="G25" s="14"/>
      <c r="H25" s="14"/>
      <c r="I25" s="14"/>
      <c r="J25" s="14"/>
      <c r="K25" s="13"/>
      <c r="L25" s="14"/>
      <c r="M25" s="14"/>
      <c r="N25" s="14"/>
      <c r="O25" s="14"/>
      <c r="P25" s="13"/>
      <c r="Q25" s="14"/>
      <c r="R25" s="14"/>
      <c r="S25" s="14"/>
      <c r="T25" s="14"/>
      <c r="U25" s="13"/>
      <c r="V25" s="14"/>
      <c r="W25" s="14"/>
      <c r="X25" s="14"/>
      <c r="Y25" s="14"/>
      <c r="Z25" s="13"/>
      <c r="AA25" s="31"/>
      <c r="AB25" s="31"/>
      <c r="AC25" s="31"/>
      <c r="AD25" s="31"/>
      <c r="AE25" s="17"/>
      <c r="AF25" s="31"/>
      <c r="AG25" s="17"/>
      <c r="AH25" s="17"/>
      <c r="AI25" s="17"/>
    </row>
    <row r="26" spans="1:35" s="74" customFormat="1" x14ac:dyDescent="0.2">
      <c r="A26" s="56"/>
      <c r="B26" s="14"/>
      <c r="C26" s="14"/>
      <c r="D26" s="14"/>
      <c r="E26" s="12"/>
      <c r="F26" s="13"/>
      <c r="G26" s="14"/>
      <c r="H26" s="14"/>
      <c r="I26" s="14"/>
      <c r="J26" s="14"/>
      <c r="K26" s="13"/>
      <c r="L26" s="14"/>
      <c r="M26" s="14"/>
      <c r="N26" s="14"/>
      <c r="O26" s="14"/>
      <c r="P26" s="13"/>
      <c r="Q26" s="14"/>
      <c r="R26" s="14"/>
      <c r="S26" s="14"/>
      <c r="T26" s="14"/>
      <c r="U26" s="13"/>
      <c r="V26" s="14"/>
      <c r="W26" s="14"/>
      <c r="X26" s="14"/>
      <c r="Y26" s="14"/>
      <c r="Z26" s="13"/>
      <c r="AA26" s="31"/>
      <c r="AB26" s="31"/>
      <c r="AC26" s="31"/>
      <c r="AD26" s="31"/>
      <c r="AE26" s="17"/>
      <c r="AF26" s="31"/>
      <c r="AG26" s="17"/>
      <c r="AH26" s="17"/>
      <c r="AI26" s="17"/>
    </row>
    <row r="27" spans="1:35" s="74" customFormat="1" x14ac:dyDescent="0.2">
      <c r="A27" s="57" t="s">
        <v>19</v>
      </c>
      <c r="B27" s="14"/>
      <c r="C27" s="14"/>
      <c r="D27" s="14"/>
      <c r="E27" s="12"/>
      <c r="F27" s="13"/>
      <c r="G27" s="14"/>
      <c r="H27" s="14"/>
      <c r="I27" s="14"/>
      <c r="J27" s="14"/>
      <c r="K27" s="13"/>
      <c r="L27" s="14"/>
      <c r="M27" s="14"/>
      <c r="N27" s="14"/>
      <c r="O27" s="14"/>
      <c r="P27" s="13"/>
      <c r="Q27" s="14"/>
      <c r="R27" s="14"/>
      <c r="S27" s="14"/>
      <c r="T27" s="14"/>
      <c r="U27" s="13"/>
      <c r="V27" s="14"/>
      <c r="W27" s="14"/>
      <c r="X27" s="14"/>
      <c r="Y27" s="14"/>
      <c r="Z27" s="13"/>
      <c r="AA27" s="31"/>
      <c r="AB27" s="31"/>
      <c r="AC27" s="31"/>
      <c r="AD27" s="31"/>
      <c r="AE27" s="17"/>
      <c r="AF27" s="31"/>
      <c r="AG27" s="17"/>
      <c r="AH27" s="17"/>
      <c r="AI27" s="17"/>
    </row>
    <row r="28" spans="1:35" s="74" customFormat="1" x14ac:dyDescent="0.2">
      <c r="A28" s="58" t="s">
        <v>20</v>
      </c>
      <c r="B28" s="33">
        <v>1</v>
      </c>
      <c r="C28" s="33">
        <v>1</v>
      </c>
      <c r="D28" s="33">
        <v>1</v>
      </c>
      <c r="E28" s="33">
        <v>1</v>
      </c>
      <c r="F28" s="13">
        <v>1</v>
      </c>
      <c r="G28" s="33">
        <v>0.29399999999999998</v>
      </c>
      <c r="H28" s="33">
        <v>0.45600000000000002</v>
      </c>
      <c r="I28" s="33">
        <v>1.41</v>
      </c>
      <c r="J28" s="33">
        <v>2.1</v>
      </c>
      <c r="K28" s="13">
        <v>2.1</v>
      </c>
      <c r="L28" s="33">
        <v>0.61290000000000011</v>
      </c>
      <c r="M28" s="33">
        <v>0.9486</v>
      </c>
      <c r="N28" s="33">
        <v>2.9474999999999998</v>
      </c>
      <c r="O28" s="33">
        <v>4.3920000000000003</v>
      </c>
      <c r="P28" s="13">
        <v>4.3920000000000003</v>
      </c>
      <c r="Q28" s="33">
        <v>1.2199500000000001</v>
      </c>
      <c r="R28" s="33">
        <v>1.8855</v>
      </c>
      <c r="S28" s="33">
        <v>5.8774500000000005</v>
      </c>
      <c r="T28" s="33">
        <v>8.7605999999999984</v>
      </c>
      <c r="U28" s="13">
        <v>8.7605999999999984</v>
      </c>
      <c r="V28" s="33">
        <v>2.3123475000000004</v>
      </c>
      <c r="W28" s="33">
        <v>3.5713349999999999</v>
      </c>
      <c r="X28" s="33">
        <v>11.150482499999999</v>
      </c>
      <c r="Y28" s="33">
        <v>16.622909999999997</v>
      </c>
      <c r="Z28" s="13">
        <v>16.622909999999997</v>
      </c>
      <c r="AA28" s="15">
        <v>4.1622255000000017</v>
      </c>
      <c r="AB28" s="15">
        <v>6.4284030000000003</v>
      </c>
      <c r="AC28" s="15">
        <v>20.070868500000003</v>
      </c>
      <c r="AD28" s="15">
        <v>29.921237999999995</v>
      </c>
      <c r="AE28" s="17">
        <v>29.921237999999995</v>
      </c>
      <c r="AF28" s="15">
        <v>103.17571425</v>
      </c>
      <c r="AG28" s="17">
        <v>165.728869425</v>
      </c>
      <c r="AH28" s="17">
        <v>250.24500703125</v>
      </c>
      <c r="AI28" s="17">
        <v>353.97675620999996</v>
      </c>
    </row>
    <row r="29" spans="1:35" s="160" customFormat="1" x14ac:dyDescent="0.2">
      <c r="A29" s="21" t="s">
        <v>21</v>
      </c>
      <c r="B29" s="286">
        <f>B28/'Income Statement'!C8</f>
        <v>0.22222222222222221</v>
      </c>
      <c r="C29" s="286">
        <f>C28/'Income Statement'!D8</f>
        <v>0.14285714285714285</v>
      </c>
      <c r="D29" s="286">
        <f>D28/'Income Statement'!E8</f>
        <v>4.6511627906976744E-2</v>
      </c>
      <c r="E29" s="286">
        <f>E28/'Income Statement'!F8</f>
        <v>3.125E-2</v>
      </c>
      <c r="F29" s="22">
        <f>E29</f>
        <v>3.125E-2</v>
      </c>
      <c r="G29" s="286">
        <f>G28/'Income Statement'!H8</f>
        <v>2.9999999999999995E-2</v>
      </c>
      <c r="H29" s="286">
        <f>H28/'Income Statement'!I8</f>
        <v>0.03</v>
      </c>
      <c r="I29" s="286">
        <f>I28/'Income Statement'!J8</f>
        <v>0.03</v>
      </c>
      <c r="J29" s="286">
        <f>J28/'Income Statement'!K8</f>
        <v>3.0000000000000002E-2</v>
      </c>
      <c r="K29" s="22">
        <f>J29</f>
        <v>3.0000000000000002E-2</v>
      </c>
      <c r="L29" s="286">
        <f>L28/'Income Statement'!M8</f>
        <v>3.0000000000000002E-2</v>
      </c>
      <c r="M29" s="286">
        <f>M28/'Income Statement'!N8</f>
        <v>0.03</v>
      </c>
      <c r="N29" s="286">
        <f>N28/'Income Statement'!O8</f>
        <v>0.03</v>
      </c>
      <c r="O29" s="286">
        <f>O28/'Income Statement'!P8</f>
        <v>3.0000000000000002E-2</v>
      </c>
      <c r="P29" s="22">
        <f>O29</f>
        <v>3.0000000000000002E-2</v>
      </c>
      <c r="Q29" s="286">
        <f>Q28/'Income Statement'!R8</f>
        <v>0.03</v>
      </c>
      <c r="R29" s="286">
        <f>R28/'Income Statement'!S8</f>
        <v>0.03</v>
      </c>
      <c r="S29" s="286">
        <f>S28/'Income Statement'!T8</f>
        <v>0.03</v>
      </c>
      <c r="T29" s="286">
        <f>T28/'Income Statement'!U8</f>
        <v>2.9999999999999995E-2</v>
      </c>
      <c r="U29" s="22">
        <f>T29</f>
        <v>2.9999999999999995E-2</v>
      </c>
      <c r="V29" s="286">
        <f>V28/'Income Statement'!W8</f>
        <v>3.0000000000000002E-2</v>
      </c>
      <c r="W29" s="286">
        <f>W28/'Income Statement'!X8</f>
        <v>0.03</v>
      </c>
      <c r="X29" s="286">
        <f>X28/'Income Statement'!Y8</f>
        <v>0.03</v>
      </c>
      <c r="Y29" s="286">
        <f>Y28/'Income Statement'!Z8</f>
        <v>2.9999999999999995E-2</v>
      </c>
      <c r="Z29" s="22">
        <f>Y29</f>
        <v>2.9999999999999995E-2</v>
      </c>
      <c r="AA29" s="287">
        <f>AA28/'Income Statement'!AB8</f>
        <v>3.0000000000000002E-2</v>
      </c>
      <c r="AB29" s="288">
        <f>AB28/'Income Statement'!AC8</f>
        <v>3.0000000000000002E-2</v>
      </c>
      <c r="AC29" s="288">
        <f>AC28/'Income Statement'!AD8</f>
        <v>0.03</v>
      </c>
      <c r="AD29" s="289">
        <f>AD28/'Income Statement'!AE8</f>
        <v>0.03</v>
      </c>
      <c r="AE29" s="303">
        <f>AD29</f>
        <v>0.03</v>
      </c>
      <c r="AF29" s="288">
        <f>AF28/'Income Statement'!AG8</f>
        <v>3.0000000000000002E-2</v>
      </c>
      <c r="AG29" s="303">
        <f>AG28/'Income Statement'!AH8</f>
        <v>0.03</v>
      </c>
      <c r="AH29" s="303">
        <f>AH28/'Income Statement'!AI8</f>
        <v>0.03</v>
      </c>
      <c r="AI29" s="303">
        <f>AI28/'Income Statement'!AJ8</f>
        <v>0.03</v>
      </c>
    </row>
    <row r="30" spans="1:35" s="74" customFormat="1" x14ac:dyDescent="0.2">
      <c r="A30" s="32" t="s">
        <v>22</v>
      </c>
      <c r="B30" s="33">
        <v>52.789999999999985</v>
      </c>
      <c r="C30" s="33">
        <v>41.439999999999984</v>
      </c>
      <c r="D30" s="33">
        <v>41.439999999999984</v>
      </c>
      <c r="E30" s="59">
        <v>54.333999999999982</v>
      </c>
      <c r="F30" s="13">
        <f>E30</f>
        <v>54.333999999999982</v>
      </c>
      <c r="G30" s="35">
        <v>20</v>
      </c>
      <c r="H30" s="35">
        <v>20</v>
      </c>
      <c r="I30" s="35">
        <v>20</v>
      </c>
      <c r="J30" s="35">
        <v>20</v>
      </c>
      <c r="K30" s="13">
        <f t="shared" si="1"/>
        <v>20</v>
      </c>
      <c r="L30" s="35">
        <v>20</v>
      </c>
      <c r="M30" s="35">
        <v>20</v>
      </c>
      <c r="N30" s="35">
        <v>20</v>
      </c>
      <c r="O30" s="35">
        <v>20</v>
      </c>
      <c r="P30" s="13">
        <f t="shared" si="2"/>
        <v>20</v>
      </c>
      <c r="Q30" s="35">
        <v>20</v>
      </c>
      <c r="R30" s="35">
        <v>20</v>
      </c>
      <c r="S30" s="35">
        <v>20</v>
      </c>
      <c r="T30" s="35">
        <v>20</v>
      </c>
      <c r="U30" s="13">
        <f t="shared" si="3"/>
        <v>20</v>
      </c>
      <c r="V30" s="35">
        <v>20</v>
      </c>
      <c r="W30" s="35">
        <v>20</v>
      </c>
      <c r="X30" s="35">
        <v>20</v>
      </c>
      <c r="Y30" s="35">
        <v>20</v>
      </c>
      <c r="Z30" s="13">
        <f t="shared" si="4"/>
        <v>20</v>
      </c>
      <c r="AA30" s="16">
        <v>20</v>
      </c>
      <c r="AB30" s="16">
        <v>20</v>
      </c>
      <c r="AC30" s="16">
        <v>20</v>
      </c>
      <c r="AD30" s="16">
        <v>20</v>
      </c>
      <c r="AE30" s="17">
        <f>AD30</f>
        <v>20</v>
      </c>
      <c r="AF30" s="16">
        <v>20</v>
      </c>
      <c r="AG30" s="17">
        <v>20</v>
      </c>
      <c r="AH30" s="17">
        <v>20</v>
      </c>
      <c r="AI30" s="17">
        <v>20</v>
      </c>
    </row>
    <row r="31" spans="1:35" s="162" customFormat="1" x14ac:dyDescent="0.2">
      <c r="A31" s="295" t="s">
        <v>23</v>
      </c>
      <c r="B31" s="28">
        <f>B28+B30</f>
        <v>53.789999999999985</v>
      </c>
      <c r="C31" s="28">
        <f t="shared" ref="C31:AE31" si="5">C28+C30</f>
        <v>42.439999999999984</v>
      </c>
      <c r="D31" s="28">
        <f t="shared" si="5"/>
        <v>42.439999999999984</v>
      </c>
      <c r="E31" s="28">
        <f t="shared" si="5"/>
        <v>55.333999999999982</v>
      </c>
      <c r="F31" s="29">
        <f t="shared" si="5"/>
        <v>55.333999999999982</v>
      </c>
      <c r="G31" s="28">
        <f t="shared" si="5"/>
        <v>20.294</v>
      </c>
      <c r="H31" s="28">
        <f t="shared" si="5"/>
        <v>20.456</v>
      </c>
      <c r="I31" s="28">
        <f t="shared" si="5"/>
        <v>21.41</v>
      </c>
      <c r="J31" s="28">
        <f>J28+J30</f>
        <v>22.1</v>
      </c>
      <c r="K31" s="29">
        <f t="shared" si="5"/>
        <v>22.1</v>
      </c>
      <c r="L31" s="28">
        <f>L28+L30</f>
        <v>20.6129</v>
      </c>
      <c r="M31" s="28">
        <f>M28+M30</f>
        <v>20.948599999999999</v>
      </c>
      <c r="N31" s="28">
        <f>N28+N30</f>
        <v>22.947499999999998</v>
      </c>
      <c r="O31" s="28">
        <f>O28+O30</f>
        <v>24.391999999999999</v>
      </c>
      <c r="P31" s="29">
        <f t="shared" si="5"/>
        <v>24.391999999999999</v>
      </c>
      <c r="Q31" s="28">
        <f t="shared" si="5"/>
        <v>21.219950000000001</v>
      </c>
      <c r="R31" s="28">
        <f t="shared" si="5"/>
        <v>21.8855</v>
      </c>
      <c r="S31" s="28">
        <f t="shared" si="5"/>
        <v>25.87745</v>
      </c>
      <c r="T31" s="28">
        <f t="shared" si="5"/>
        <v>28.760599999999997</v>
      </c>
      <c r="U31" s="29">
        <f t="shared" si="5"/>
        <v>28.760599999999997</v>
      </c>
      <c r="V31" s="28">
        <f t="shared" si="5"/>
        <v>22.312347500000001</v>
      </c>
      <c r="W31" s="28">
        <f t="shared" si="5"/>
        <v>23.571335000000001</v>
      </c>
      <c r="X31" s="28">
        <f t="shared" si="5"/>
        <v>31.150482499999999</v>
      </c>
      <c r="Y31" s="28">
        <f t="shared" si="5"/>
        <v>36.622909999999997</v>
      </c>
      <c r="Z31" s="29">
        <f t="shared" si="5"/>
        <v>36.622909999999997</v>
      </c>
      <c r="AA31" s="30">
        <f t="shared" si="5"/>
        <v>24.162225500000002</v>
      </c>
      <c r="AB31" s="30">
        <f t="shared" si="5"/>
        <v>26.428402999999999</v>
      </c>
      <c r="AC31" s="30">
        <f t="shared" si="5"/>
        <v>40.070868500000003</v>
      </c>
      <c r="AD31" s="30">
        <f t="shared" si="5"/>
        <v>49.921237999999995</v>
      </c>
      <c r="AE31" s="60">
        <f t="shared" si="5"/>
        <v>49.921237999999995</v>
      </c>
      <c r="AF31" s="30">
        <f>AF28+AF30</f>
        <v>123.17571425</v>
      </c>
      <c r="AG31" s="60">
        <f>AG28+AG30</f>
        <v>185.728869425</v>
      </c>
      <c r="AH31" s="60">
        <f>AH28+AH30</f>
        <v>270.24500703125</v>
      </c>
      <c r="AI31" s="60">
        <f>AI28+AI30</f>
        <v>373.97675620999996</v>
      </c>
    </row>
    <row r="32" spans="1:35" s="74" customFormat="1" x14ac:dyDescent="0.2">
      <c r="A32" s="57" t="s">
        <v>24</v>
      </c>
      <c r="B32" s="14"/>
      <c r="C32" s="14"/>
      <c r="D32" s="14"/>
      <c r="E32" s="12"/>
      <c r="F32" s="13"/>
      <c r="G32" s="14"/>
      <c r="H32" s="14"/>
      <c r="I32" s="14"/>
      <c r="J32" s="14"/>
      <c r="K32" s="13"/>
      <c r="L32" s="14"/>
      <c r="M32" s="14"/>
      <c r="N32" s="14"/>
      <c r="O32" s="14"/>
      <c r="P32" s="13"/>
      <c r="Q32" s="14"/>
      <c r="R32" s="14"/>
      <c r="S32" s="14"/>
      <c r="T32" s="14"/>
      <c r="U32" s="13"/>
      <c r="V32" s="14"/>
      <c r="W32" s="14"/>
      <c r="X32" s="14"/>
      <c r="Y32" s="14"/>
      <c r="Z32" s="13"/>
      <c r="AA32" s="31"/>
      <c r="AB32" s="31"/>
      <c r="AC32" s="31"/>
      <c r="AD32" s="31"/>
      <c r="AE32" s="17"/>
      <c r="AF32" s="31"/>
      <c r="AG32" s="17"/>
      <c r="AH32" s="17"/>
      <c r="AI32" s="17"/>
    </row>
    <row r="33" spans="1:37" s="74" customFormat="1" x14ac:dyDescent="0.2">
      <c r="A33" s="32" t="s">
        <v>25</v>
      </c>
      <c r="B33" s="33">
        <v>50</v>
      </c>
      <c r="C33" s="33">
        <v>50</v>
      </c>
      <c r="D33" s="33">
        <v>50</v>
      </c>
      <c r="E33" s="33">
        <v>50</v>
      </c>
      <c r="F33" s="13">
        <f>E33</f>
        <v>50</v>
      </c>
      <c r="G33" s="33">
        <v>50</v>
      </c>
      <c r="H33" s="33">
        <v>50</v>
      </c>
      <c r="I33" s="33">
        <v>50</v>
      </c>
      <c r="J33" s="33">
        <v>50</v>
      </c>
      <c r="K33" s="13">
        <f t="shared" si="1"/>
        <v>50</v>
      </c>
      <c r="L33" s="33">
        <v>50</v>
      </c>
      <c r="M33" s="33">
        <v>50</v>
      </c>
      <c r="N33" s="33">
        <v>50</v>
      </c>
      <c r="O33" s="33">
        <v>50</v>
      </c>
      <c r="P33" s="13">
        <f t="shared" si="2"/>
        <v>50</v>
      </c>
      <c r="Q33" s="33">
        <v>50</v>
      </c>
      <c r="R33" s="33">
        <v>50</v>
      </c>
      <c r="S33" s="33">
        <v>50</v>
      </c>
      <c r="T33" s="33">
        <v>50</v>
      </c>
      <c r="U33" s="13">
        <f t="shared" si="3"/>
        <v>50</v>
      </c>
      <c r="V33" s="33">
        <v>50</v>
      </c>
      <c r="W33" s="33">
        <v>50</v>
      </c>
      <c r="X33" s="33">
        <v>50</v>
      </c>
      <c r="Y33" s="33">
        <v>50</v>
      </c>
      <c r="Z33" s="13">
        <f t="shared" si="4"/>
        <v>50</v>
      </c>
      <c r="AA33" s="15">
        <v>50</v>
      </c>
      <c r="AB33" s="15">
        <v>50</v>
      </c>
      <c r="AC33" s="15">
        <v>50</v>
      </c>
      <c r="AD33" s="15">
        <v>50</v>
      </c>
      <c r="AE33" s="17">
        <f>AD33</f>
        <v>50</v>
      </c>
      <c r="AF33" s="15">
        <v>50</v>
      </c>
      <c r="AG33" s="17">
        <v>50</v>
      </c>
      <c r="AH33" s="17">
        <v>50</v>
      </c>
      <c r="AI33" s="17">
        <v>50</v>
      </c>
    </row>
    <row r="34" spans="1:37" s="162" customFormat="1" x14ac:dyDescent="0.2">
      <c r="A34" s="295" t="s">
        <v>26</v>
      </c>
      <c r="B34" s="28">
        <f>B33</f>
        <v>50</v>
      </c>
      <c r="C34" s="28">
        <f>C33</f>
        <v>50</v>
      </c>
      <c r="D34" s="28">
        <f>D33</f>
        <v>50</v>
      </c>
      <c r="E34" s="28">
        <f>E33</f>
        <v>50</v>
      </c>
      <c r="F34" s="29">
        <f>E34</f>
        <v>50</v>
      </c>
      <c r="G34" s="28">
        <f>G33</f>
        <v>50</v>
      </c>
      <c r="H34" s="28">
        <f>H33</f>
        <v>50</v>
      </c>
      <c r="I34" s="28">
        <f>I33</f>
        <v>50</v>
      </c>
      <c r="J34" s="28">
        <f>J33</f>
        <v>50</v>
      </c>
      <c r="K34" s="29">
        <f t="shared" si="1"/>
        <v>50</v>
      </c>
      <c r="L34" s="28">
        <f>L33</f>
        <v>50</v>
      </c>
      <c r="M34" s="28">
        <f>M33</f>
        <v>50</v>
      </c>
      <c r="N34" s="28">
        <f>N33</f>
        <v>50</v>
      </c>
      <c r="O34" s="28">
        <f>O33</f>
        <v>50</v>
      </c>
      <c r="P34" s="29">
        <f t="shared" si="2"/>
        <v>50</v>
      </c>
      <c r="Q34" s="28">
        <f>Q33</f>
        <v>50</v>
      </c>
      <c r="R34" s="28">
        <f>R33</f>
        <v>50</v>
      </c>
      <c r="S34" s="28">
        <f>S33</f>
        <v>50</v>
      </c>
      <c r="T34" s="28">
        <f>T33</f>
        <v>50</v>
      </c>
      <c r="U34" s="29">
        <f t="shared" si="3"/>
        <v>50</v>
      </c>
      <c r="V34" s="28">
        <f>V33</f>
        <v>50</v>
      </c>
      <c r="W34" s="28">
        <f>W33</f>
        <v>50</v>
      </c>
      <c r="X34" s="28">
        <f>X33</f>
        <v>50</v>
      </c>
      <c r="Y34" s="28">
        <f>Y33</f>
        <v>50</v>
      </c>
      <c r="Z34" s="29">
        <f t="shared" si="4"/>
        <v>50</v>
      </c>
      <c r="AA34" s="30">
        <f>AA33</f>
        <v>50</v>
      </c>
      <c r="AB34" s="30">
        <f>AB33</f>
        <v>50</v>
      </c>
      <c r="AC34" s="30">
        <f>AC33</f>
        <v>50</v>
      </c>
      <c r="AD34" s="30">
        <f>AD33</f>
        <v>50</v>
      </c>
      <c r="AE34" s="60">
        <f>AD34</f>
        <v>50</v>
      </c>
      <c r="AF34" s="30">
        <f>AF33</f>
        <v>50</v>
      </c>
      <c r="AG34" s="60">
        <f>AG33</f>
        <v>50</v>
      </c>
      <c r="AH34" s="60">
        <f>AH33</f>
        <v>50</v>
      </c>
      <c r="AI34" s="60">
        <f>AI33</f>
        <v>50</v>
      </c>
    </row>
    <row r="35" spans="1:37" s="162" customFormat="1" x14ac:dyDescent="0.2">
      <c r="A35" s="295" t="s">
        <v>27</v>
      </c>
      <c r="B35" s="28">
        <f>B34+B31</f>
        <v>103.78999999999999</v>
      </c>
      <c r="C35" s="28">
        <f>C34+C31</f>
        <v>92.439999999999984</v>
      </c>
      <c r="D35" s="28">
        <f>D34+D31</f>
        <v>92.439999999999984</v>
      </c>
      <c r="E35" s="28">
        <f>E34+E31</f>
        <v>105.33399999999997</v>
      </c>
      <c r="F35" s="29">
        <f>E35</f>
        <v>105.33399999999997</v>
      </c>
      <c r="G35" s="28">
        <f>G34+G31</f>
        <v>70.293999999999997</v>
      </c>
      <c r="H35" s="28">
        <f>H34+H31</f>
        <v>70.456000000000003</v>
      </c>
      <c r="I35" s="28">
        <f>I34+I31</f>
        <v>71.41</v>
      </c>
      <c r="J35" s="28">
        <f>J34+J31</f>
        <v>72.099999999999994</v>
      </c>
      <c r="K35" s="29">
        <f t="shared" si="1"/>
        <v>72.099999999999994</v>
      </c>
      <c r="L35" s="28">
        <f>L34+L31</f>
        <v>70.612899999999996</v>
      </c>
      <c r="M35" s="28">
        <f>M34+M31</f>
        <v>70.948599999999999</v>
      </c>
      <c r="N35" s="28">
        <f>N34+N31</f>
        <v>72.947499999999991</v>
      </c>
      <c r="O35" s="28">
        <f>O34+O31</f>
        <v>74.391999999999996</v>
      </c>
      <c r="P35" s="29">
        <f t="shared" si="2"/>
        <v>74.391999999999996</v>
      </c>
      <c r="Q35" s="28">
        <f>Q34+Q31</f>
        <v>71.219949999999997</v>
      </c>
      <c r="R35" s="28">
        <f>R34+R31</f>
        <v>71.885500000000008</v>
      </c>
      <c r="S35" s="28">
        <f>S34+S31</f>
        <v>75.877449999999996</v>
      </c>
      <c r="T35" s="28">
        <f>T34+T31</f>
        <v>78.760599999999997</v>
      </c>
      <c r="U35" s="29">
        <f t="shared" si="3"/>
        <v>78.760599999999997</v>
      </c>
      <c r="V35" s="28">
        <f>V34+V31</f>
        <v>72.312347500000001</v>
      </c>
      <c r="W35" s="28">
        <f>W34+W31</f>
        <v>73.571335000000005</v>
      </c>
      <c r="X35" s="28">
        <f>X34+X31</f>
        <v>81.150482499999995</v>
      </c>
      <c r="Y35" s="28">
        <f>Y34+Y31</f>
        <v>86.62290999999999</v>
      </c>
      <c r="Z35" s="29">
        <f t="shared" si="4"/>
        <v>86.62290999999999</v>
      </c>
      <c r="AA35" s="30">
        <f>AA34+AA31</f>
        <v>74.162225500000005</v>
      </c>
      <c r="AB35" s="30">
        <f>AB34+AB31</f>
        <v>76.428403000000003</v>
      </c>
      <c r="AC35" s="30">
        <f>AC34+AC31</f>
        <v>90.070868500000003</v>
      </c>
      <c r="AD35" s="30">
        <f>AD34+AD31</f>
        <v>99.921237999999988</v>
      </c>
      <c r="AE35" s="60">
        <f>AD35</f>
        <v>99.921237999999988</v>
      </c>
      <c r="AF35" s="30">
        <f>AF34+AF31</f>
        <v>173.17571425</v>
      </c>
      <c r="AG35" s="60">
        <f>AG34+AG31</f>
        <v>235.728869425</v>
      </c>
      <c r="AH35" s="60">
        <f>AH34+AH31</f>
        <v>320.24500703125</v>
      </c>
      <c r="AI35" s="60">
        <f>AI34+AI31</f>
        <v>423.97675620999996</v>
      </c>
    </row>
    <row r="36" spans="1:37" s="74" customFormat="1" x14ac:dyDescent="0.2">
      <c r="A36" s="55"/>
      <c r="B36" s="14"/>
      <c r="C36" s="14"/>
      <c r="D36" s="14"/>
      <c r="E36" s="12"/>
      <c r="F36" s="13"/>
      <c r="G36" s="14"/>
      <c r="H36" s="14"/>
      <c r="I36" s="14"/>
      <c r="J36" s="14"/>
      <c r="K36" s="13"/>
      <c r="L36" s="14"/>
      <c r="M36" s="14"/>
      <c r="N36" s="14"/>
      <c r="O36" s="14"/>
      <c r="P36" s="13"/>
      <c r="Q36" s="14"/>
      <c r="R36" s="14"/>
      <c r="S36" s="14"/>
      <c r="T36" s="14"/>
      <c r="U36" s="13"/>
      <c r="V36" s="14"/>
      <c r="W36" s="14"/>
      <c r="X36" s="14"/>
      <c r="Y36" s="14"/>
      <c r="Z36" s="13"/>
      <c r="AA36" s="31"/>
      <c r="AB36" s="31"/>
      <c r="AC36" s="31"/>
      <c r="AD36" s="31"/>
      <c r="AE36" s="17"/>
      <c r="AF36" s="31"/>
      <c r="AG36" s="17"/>
      <c r="AH36" s="17"/>
      <c r="AI36" s="17"/>
    </row>
    <row r="37" spans="1:37" s="74" customFormat="1" x14ac:dyDescent="0.2">
      <c r="A37" s="57"/>
      <c r="B37" s="14"/>
      <c r="C37" s="14"/>
      <c r="D37" s="14"/>
      <c r="E37" s="12"/>
      <c r="F37" s="13"/>
      <c r="G37" s="14"/>
      <c r="H37" s="14"/>
      <c r="I37" s="14"/>
      <c r="J37" s="14"/>
      <c r="K37" s="13"/>
      <c r="L37" s="14"/>
      <c r="M37" s="14"/>
      <c r="N37" s="14"/>
      <c r="O37" s="14"/>
      <c r="P37" s="13"/>
      <c r="Q37" s="14"/>
      <c r="R37" s="14"/>
      <c r="S37" s="14"/>
      <c r="T37" s="14"/>
      <c r="U37" s="13"/>
      <c r="V37" s="14"/>
      <c r="W37" s="14"/>
      <c r="X37" s="14"/>
      <c r="Y37" s="14"/>
      <c r="Z37" s="13"/>
      <c r="AA37" s="14"/>
      <c r="AB37" s="14"/>
      <c r="AC37" s="14"/>
      <c r="AD37" s="14"/>
      <c r="AE37" s="13"/>
      <c r="AF37" s="14"/>
      <c r="AG37" s="13"/>
      <c r="AH37" s="13"/>
      <c r="AI37" s="13"/>
    </row>
    <row r="38" spans="1:37" s="74" customFormat="1" x14ac:dyDescent="0.2">
      <c r="A38" s="58" t="s">
        <v>28</v>
      </c>
      <c r="B38" s="37">
        <f>'Income Statement'!C39</f>
        <v>-0.51987499999999986</v>
      </c>
      <c r="C38" s="37">
        <f>B38+'Income Statement'!D39</f>
        <v>-0.47287499999999927</v>
      </c>
      <c r="D38" s="37">
        <f>C38+'Income Statement'!E39</f>
        <v>1.239125000000002</v>
      </c>
      <c r="E38" s="37">
        <f>D38+'Income Statement'!F39</f>
        <v>4.0749500000000003</v>
      </c>
      <c r="F38" s="13">
        <f>E38</f>
        <v>4.0749500000000003</v>
      </c>
      <c r="G38" s="37">
        <f>E38+'Income Statement'!H39</f>
        <v>4.9559499999999987</v>
      </c>
      <c r="H38" s="37">
        <f>G38+'Income Statement'!I39</f>
        <v>6.6249499999999983</v>
      </c>
      <c r="I38" s="37">
        <f>H38+'Income Statement'!J39</f>
        <v>13.089949999999995</v>
      </c>
      <c r="J38" s="37">
        <f>I38+'Income Statement'!K39</f>
        <v>24.514949999999985</v>
      </c>
      <c r="K38" s="13">
        <f t="shared" ref="K38" si="6">J38</f>
        <v>24.514949999999985</v>
      </c>
      <c r="L38" s="37">
        <f>J38+'Income Statement'!M39</f>
        <v>27.201219999999985</v>
      </c>
      <c r="M38" s="37">
        <f>L38+'Income Statement'!N39</f>
        <v>32.00239999999998</v>
      </c>
      <c r="N38" s="37">
        <f>M38+'Income Statement'!O39</f>
        <v>49.39664999999998</v>
      </c>
      <c r="O38" s="37">
        <f>N38+'Income Statement'!P39</f>
        <v>75.891249999999971</v>
      </c>
      <c r="P38" s="13">
        <f t="shared" ref="P38" si="7">O38</f>
        <v>75.891249999999971</v>
      </c>
      <c r="Q38" s="37">
        <f>O38+'Income Statement'!R39</f>
        <v>83.82520999999997</v>
      </c>
      <c r="R38" s="37">
        <f>Q38+'Income Statement'!S39</f>
        <v>96.728609999999975</v>
      </c>
      <c r="S38" s="37">
        <f>R38+'Income Statement'!T39</f>
        <v>139.43856999999997</v>
      </c>
      <c r="T38" s="37">
        <f>S38+'Income Statement'!U39</f>
        <v>203.67604999999998</v>
      </c>
      <c r="U38" s="13">
        <f t="shared" ref="U38" si="8">T38</f>
        <v>203.67604999999998</v>
      </c>
      <c r="V38" s="37">
        <f>T38+'Income Statement'!W39</f>
        <v>223.01071841249998</v>
      </c>
      <c r="W38" s="37">
        <f>V38+'Income Statement'!X39</f>
        <v>253.38251091249998</v>
      </c>
      <c r="X38" s="37">
        <f>W38+'Income Statement'!Y39</f>
        <v>349.03584316249999</v>
      </c>
      <c r="Y38" s="37">
        <f>X38+'Income Statement'!Z39</f>
        <v>491.7967331625</v>
      </c>
      <c r="Z38" s="13">
        <f t="shared" ref="Z38" si="9">Y38</f>
        <v>491.7967331625</v>
      </c>
      <c r="AA38" s="236">
        <f>Y38+'Income Statement'!AB39</f>
        <v>531.97404306249996</v>
      </c>
      <c r="AB38" s="237">
        <f>AA38+'Income Statement'!AC39</f>
        <v>594.35989246249994</v>
      </c>
      <c r="AC38" s="237">
        <f>AB38+'Income Statement'!AD39</f>
        <v>790.44190376250003</v>
      </c>
      <c r="AD38" s="238">
        <f>AC38+'Income Statement'!AE39</f>
        <v>1083.0575361624999</v>
      </c>
      <c r="AE38" s="13">
        <f>AD38</f>
        <v>1083.0575361624999</v>
      </c>
      <c r="AF38" s="37">
        <f>AD38+'Income Statement'!AG39</f>
        <v>2211.3137024375001</v>
      </c>
      <c r="AG38" s="39">
        <f>AF38+'Income Statement'!AH39</f>
        <v>4218.9198181274996</v>
      </c>
      <c r="AH38" s="39">
        <f>AG38+'Income Statement'!AI39</f>
        <v>7543.9409116431252</v>
      </c>
      <c r="AI38" s="39">
        <f>AH38+'Income Statement'!AJ39</f>
        <v>12661.567151481126</v>
      </c>
      <c r="AK38" s="165"/>
    </row>
    <row r="39" spans="1:37" s="74" customFormat="1" x14ac:dyDescent="0.2">
      <c r="A39" s="58" t="s">
        <v>29</v>
      </c>
      <c r="B39" s="33">
        <v>4</v>
      </c>
      <c r="C39" s="33">
        <v>4</v>
      </c>
      <c r="D39" s="33">
        <v>4</v>
      </c>
      <c r="E39" s="34">
        <v>4</v>
      </c>
      <c r="F39" s="13">
        <f>E39</f>
        <v>4</v>
      </c>
      <c r="G39" s="35">
        <v>4</v>
      </c>
      <c r="H39" s="35">
        <v>4</v>
      </c>
      <c r="I39" s="35">
        <v>4</v>
      </c>
      <c r="J39" s="35">
        <v>4</v>
      </c>
      <c r="K39" s="13">
        <f t="shared" si="1"/>
        <v>4</v>
      </c>
      <c r="L39" s="35">
        <v>4</v>
      </c>
      <c r="M39" s="35">
        <v>4</v>
      </c>
      <c r="N39" s="35">
        <v>4</v>
      </c>
      <c r="O39" s="35">
        <v>4</v>
      </c>
      <c r="P39" s="13">
        <f t="shared" si="2"/>
        <v>4</v>
      </c>
      <c r="Q39" s="35">
        <v>4</v>
      </c>
      <c r="R39" s="35">
        <v>4</v>
      </c>
      <c r="S39" s="35">
        <v>4</v>
      </c>
      <c r="T39" s="35">
        <v>4</v>
      </c>
      <c r="U39" s="13">
        <f t="shared" si="3"/>
        <v>4</v>
      </c>
      <c r="V39" s="35">
        <v>4</v>
      </c>
      <c r="W39" s="35">
        <v>4</v>
      </c>
      <c r="X39" s="35">
        <v>4</v>
      </c>
      <c r="Y39" s="35">
        <v>4</v>
      </c>
      <c r="Z39" s="13">
        <f t="shared" si="4"/>
        <v>4</v>
      </c>
      <c r="AA39" s="16">
        <v>4</v>
      </c>
      <c r="AB39" s="16">
        <v>4</v>
      </c>
      <c r="AC39" s="16">
        <v>4</v>
      </c>
      <c r="AD39" s="16">
        <v>4</v>
      </c>
      <c r="AE39" s="17">
        <f>AD39</f>
        <v>4</v>
      </c>
      <c r="AF39" s="16">
        <v>4</v>
      </c>
      <c r="AG39" s="17">
        <v>4</v>
      </c>
      <c r="AH39" s="17">
        <v>4</v>
      </c>
      <c r="AI39" s="17">
        <v>4</v>
      </c>
    </row>
    <row r="40" spans="1:37" s="162" customFormat="1" x14ac:dyDescent="0.2">
      <c r="A40" s="295" t="s">
        <v>30</v>
      </c>
      <c r="B40" s="28">
        <f>SUM(B38:B39)</f>
        <v>3.4801250000000001</v>
      </c>
      <c r="C40" s="28">
        <f>SUM(C38:C39)</f>
        <v>3.5271250000000007</v>
      </c>
      <c r="D40" s="28">
        <f>SUM(D38:D39)</f>
        <v>5.2391250000000023</v>
      </c>
      <c r="E40" s="28">
        <f>SUM(E38:E39)</f>
        <v>8.0749500000000012</v>
      </c>
      <c r="F40" s="29">
        <f>E40</f>
        <v>8.0749500000000012</v>
      </c>
      <c r="G40" s="28">
        <f>SUM(G38:G39)</f>
        <v>8.9559499999999979</v>
      </c>
      <c r="H40" s="28">
        <f>SUM(H38:H39)</f>
        <v>10.624949999999998</v>
      </c>
      <c r="I40" s="28">
        <f>SUM(I38:I39)</f>
        <v>17.089949999999995</v>
      </c>
      <c r="J40" s="28">
        <f>SUM(J38:J39)</f>
        <v>28.514949999999985</v>
      </c>
      <c r="K40" s="29">
        <f t="shared" si="1"/>
        <v>28.514949999999985</v>
      </c>
      <c r="L40" s="28">
        <f>SUM(L38:L39)</f>
        <v>31.201219999999985</v>
      </c>
      <c r="M40" s="28">
        <f>SUM(M38:M39)</f>
        <v>36.00239999999998</v>
      </c>
      <c r="N40" s="28">
        <f>SUM(N38:N39)</f>
        <v>53.39664999999998</v>
      </c>
      <c r="O40" s="28">
        <f>SUM(O38:O39)</f>
        <v>79.891249999999971</v>
      </c>
      <c r="P40" s="29">
        <f t="shared" si="2"/>
        <v>79.891249999999971</v>
      </c>
      <c r="Q40" s="28">
        <f>SUM(Q38:Q39)</f>
        <v>87.82520999999997</v>
      </c>
      <c r="R40" s="28">
        <f>SUM(R38:R39)</f>
        <v>100.72860999999997</v>
      </c>
      <c r="S40" s="28">
        <f>SUM(S38:S39)</f>
        <v>143.43856999999997</v>
      </c>
      <c r="T40" s="28">
        <f>SUM(T38:T39)</f>
        <v>207.67604999999998</v>
      </c>
      <c r="U40" s="29">
        <f t="shared" si="3"/>
        <v>207.67604999999998</v>
      </c>
      <c r="V40" s="28">
        <f>SUM(V38:V39)</f>
        <v>227.01071841249998</v>
      </c>
      <c r="W40" s="28">
        <f>SUM(W38:W39)</f>
        <v>257.38251091249998</v>
      </c>
      <c r="X40" s="28">
        <f>SUM(X38:X39)</f>
        <v>353.03584316249999</v>
      </c>
      <c r="Y40" s="28">
        <f>SUM(Y38:Y39)</f>
        <v>495.7967331625</v>
      </c>
      <c r="Z40" s="29">
        <f t="shared" si="4"/>
        <v>495.7967331625</v>
      </c>
      <c r="AA40" s="28">
        <f>SUM(AA38:AA39)</f>
        <v>535.97404306249996</v>
      </c>
      <c r="AB40" s="28">
        <f>SUM(AB38:AB39)</f>
        <v>598.35989246249994</v>
      </c>
      <c r="AC40" s="28">
        <f>SUM(AC38:AC39)</f>
        <v>794.44190376250003</v>
      </c>
      <c r="AD40" s="28">
        <f>SUM(AD38:AD39)</f>
        <v>1087.0575361624999</v>
      </c>
      <c r="AE40" s="29">
        <f>AD40</f>
        <v>1087.0575361624999</v>
      </c>
      <c r="AF40" s="28">
        <f>SUM(AF38:AF39)</f>
        <v>2215.3137024375001</v>
      </c>
      <c r="AG40" s="29">
        <f>SUM(AG38:AG39)</f>
        <v>4222.9198181274996</v>
      </c>
      <c r="AH40" s="29">
        <f>SUM(AH38:AH39)</f>
        <v>7547.9409116431252</v>
      </c>
      <c r="AI40" s="29">
        <f>SUM(AI38:AI39)</f>
        <v>12665.567151481126</v>
      </c>
    </row>
    <row r="41" spans="1:37" s="74" customFormat="1" x14ac:dyDescent="0.2">
      <c r="A41" s="306"/>
      <c r="B41" s="307"/>
      <c r="C41" s="307"/>
      <c r="D41" s="307"/>
      <c r="E41" s="308"/>
      <c r="F41" s="309"/>
      <c r="G41" s="307"/>
      <c r="H41" s="307"/>
      <c r="I41" s="307"/>
      <c r="J41" s="307"/>
      <c r="K41" s="309"/>
      <c r="L41" s="307"/>
      <c r="M41" s="307"/>
      <c r="N41" s="307"/>
      <c r="O41" s="307"/>
      <c r="P41" s="309"/>
      <c r="Q41" s="307"/>
      <c r="R41" s="307"/>
      <c r="S41" s="307"/>
      <c r="T41" s="307"/>
      <c r="U41" s="309"/>
      <c r="V41" s="14"/>
      <c r="W41" s="14"/>
      <c r="X41" s="14"/>
      <c r="Y41" s="14"/>
      <c r="Z41" s="309"/>
      <c r="AA41" s="307"/>
      <c r="AB41" s="307"/>
      <c r="AC41" s="307"/>
      <c r="AD41" s="307"/>
      <c r="AE41" s="309"/>
      <c r="AF41" s="307"/>
      <c r="AG41" s="309"/>
      <c r="AH41" s="309"/>
      <c r="AI41" s="309"/>
    </row>
    <row r="42" spans="1:37" s="162" customFormat="1" ht="15" thickBot="1" x14ac:dyDescent="0.25">
      <c r="A42" s="304" t="s">
        <v>31</v>
      </c>
      <c r="B42" s="47">
        <f>B40+B35</f>
        <v>107.27012499999999</v>
      </c>
      <c r="C42" s="47">
        <f>C40+C35</f>
        <v>95.967124999999982</v>
      </c>
      <c r="D42" s="47">
        <f>D40+D35</f>
        <v>97.679124999999985</v>
      </c>
      <c r="E42" s="47">
        <f>E40+E35</f>
        <v>113.40894999999998</v>
      </c>
      <c r="F42" s="48">
        <f>E42</f>
        <v>113.40894999999998</v>
      </c>
      <c r="G42" s="47">
        <f>G40+G35</f>
        <v>79.249949999999998</v>
      </c>
      <c r="H42" s="47">
        <f>H40+H35</f>
        <v>81.080950000000001</v>
      </c>
      <c r="I42" s="47">
        <f>I40+I35</f>
        <v>88.499949999999984</v>
      </c>
      <c r="J42" s="47">
        <f>J40+J35</f>
        <v>100.61494999999998</v>
      </c>
      <c r="K42" s="48">
        <f t="shared" si="1"/>
        <v>100.61494999999998</v>
      </c>
      <c r="L42" s="47">
        <f>L40+L35</f>
        <v>101.81411999999997</v>
      </c>
      <c r="M42" s="47">
        <f>M40+M35</f>
        <v>106.95099999999998</v>
      </c>
      <c r="N42" s="47">
        <f>N40+N35</f>
        <v>126.34414999999997</v>
      </c>
      <c r="O42" s="47">
        <f>O40+O35</f>
        <v>154.28324999999995</v>
      </c>
      <c r="P42" s="48">
        <f t="shared" si="2"/>
        <v>154.28324999999995</v>
      </c>
      <c r="Q42" s="47">
        <f>Q40+Q35</f>
        <v>159.04515999999995</v>
      </c>
      <c r="R42" s="47">
        <f>R40+R35</f>
        <v>172.61410999999998</v>
      </c>
      <c r="S42" s="47">
        <f>S40+S35</f>
        <v>219.31601999999998</v>
      </c>
      <c r="T42" s="47">
        <f>T40+T35</f>
        <v>286.43664999999999</v>
      </c>
      <c r="U42" s="48">
        <f t="shared" si="3"/>
        <v>286.43664999999999</v>
      </c>
      <c r="V42" s="47">
        <f>V40+V35</f>
        <v>299.3230659125</v>
      </c>
      <c r="W42" s="47">
        <f>W40+W35</f>
        <v>330.95384591250001</v>
      </c>
      <c r="X42" s="47">
        <f>X40+X35</f>
        <v>434.1863256625</v>
      </c>
      <c r="Y42" s="47">
        <f>Y40+Y35</f>
        <v>582.41964316250005</v>
      </c>
      <c r="Z42" s="48">
        <f t="shared" si="4"/>
        <v>582.41964316250005</v>
      </c>
      <c r="AA42" s="47">
        <f>AA40+AA35</f>
        <v>610.13626856249994</v>
      </c>
      <c r="AB42" s="47">
        <f>AB40+AB35</f>
        <v>674.78829546249995</v>
      </c>
      <c r="AC42" s="47">
        <f>AC40+AC35</f>
        <v>884.51277226249999</v>
      </c>
      <c r="AD42" s="47">
        <f>AD40+AD35</f>
        <v>1186.9787741624998</v>
      </c>
      <c r="AE42" s="48">
        <f>AD42</f>
        <v>1186.9787741624998</v>
      </c>
      <c r="AF42" s="47">
        <f>AF40+AF35</f>
        <v>2388.4894166875001</v>
      </c>
      <c r="AG42" s="48">
        <f>AG40+AG35</f>
        <v>4458.6486875524997</v>
      </c>
      <c r="AH42" s="48">
        <f>AH40+AH35</f>
        <v>7868.185918674375</v>
      </c>
      <c r="AI42" s="48">
        <f>AI40+AI35</f>
        <v>13089.543907691126</v>
      </c>
    </row>
    <row r="43" spans="1:37" s="74" customFormat="1" hidden="1" outlineLevel="1" x14ac:dyDescent="0.2">
      <c r="A43" s="61" t="s">
        <v>32</v>
      </c>
      <c r="B43" s="251" t="str">
        <f t="shared" ref="B43:AF43" si="10">IF(ROUND(B42,6)=ROUND(B24,6),"YES","NO")</f>
        <v>YES</v>
      </c>
      <c r="C43" s="251" t="str">
        <f t="shared" si="10"/>
        <v>YES</v>
      </c>
      <c r="D43" s="251" t="str">
        <f t="shared" si="10"/>
        <v>YES</v>
      </c>
      <c r="E43" s="252" t="str">
        <f t="shared" si="10"/>
        <v>YES</v>
      </c>
      <c r="F43" s="253" t="str">
        <f t="shared" si="10"/>
        <v>YES</v>
      </c>
      <c r="G43" s="251" t="str">
        <f t="shared" si="10"/>
        <v>YES</v>
      </c>
      <c r="H43" s="251" t="str">
        <f t="shared" si="10"/>
        <v>YES</v>
      </c>
      <c r="I43" s="251" t="str">
        <f t="shared" si="10"/>
        <v>YES</v>
      </c>
      <c r="J43" s="251" t="str">
        <f t="shared" si="10"/>
        <v>YES</v>
      </c>
      <c r="K43" s="253" t="str">
        <f t="shared" si="10"/>
        <v>YES</v>
      </c>
      <c r="L43" s="251" t="str">
        <f t="shared" si="10"/>
        <v>YES</v>
      </c>
      <c r="M43" s="251" t="str">
        <f t="shared" si="10"/>
        <v>YES</v>
      </c>
      <c r="N43" s="251" t="str">
        <f t="shared" si="10"/>
        <v>YES</v>
      </c>
      <c r="O43" s="251" t="str">
        <f t="shared" si="10"/>
        <v>YES</v>
      </c>
      <c r="P43" s="253" t="str">
        <f t="shared" si="10"/>
        <v>YES</v>
      </c>
      <c r="Q43" s="251" t="str">
        <f t="shared" si="10"/>
        <v>YES</v>
      </c>
      <c r="R43" s="251" t="str">
        <f t="shared" si="10"/>
        <v>YES</v>
      </c>
      <c r="S43" s="251" t="str">
        <f t="shared" si="10"/>
        <v>YES</v>
      </c>
      <c r="T43" s="251" t="str">
        <f t="shared" si="10"/>
        <v>YES</v>
      </c>
      <c r="U43" s="253" t="str">
        <f t="shared" si="10"/>
        <v>YES</v>
      </c>
      <c r="V43" s="251" t="str">
        <f t="shared" si="10"/>
        <v>YES</v>
      </c>
      <c r="W43" s="251" t="str">
        <f t="shared" si="10"/>
        <v>YES</v>
      </c>
      <c r="X43" s="251" t="str">
        <f t="shared" si="10"/>
        <v>YES</v>
      </c>
      <c r="Y43" s="251" t="str">
        <f t="shared" si="10"/>
        <v>YES</v>
      </c>
      <c r="Z43" s="253" t="str">
        <f t="shared" si="10"/>
        <v>YES</v>
      </c>
      <c r="AA43" s="254" t="str">
        <f t="shared" si="10"/>
        <v>YES</v>
      </c>
      <c r="AB43" s="254" t="str">
        <f t="shared" si="10"/>
        <v>YES</v>
      </c>
      <c r="AC43" s="254" t="str">
        <f t="shared" si="10"/>
        <v>YES</v>
      </c>
      <c r="AD43" s="254" t="str">
        <f t="shared" si="10"/>
        <v>YES</v>
      </c>
      <c r="AE43" s="255" t="str">
        <f t="shared" si="10"/>
        <v>YES</v>
      </c>
      <c r="AF43" s="255" t="str">
        <f t="shared" si="10"/>
        <v>YES</v>
      </c>
      <c r="AG43" s="255" t="str">
        <f>IF(ROUND(AG42,6)=ROUND(AG24,6),"YES","NO")</f>
        <v>YES</v>
      </c>
      <c r="AH43" s="255" t="str">
        <f>IF(ROUND(AH42,6)=ROUND(AH24,6),"YES","NO")</f>
        <v>YES</v>
      </c>
      <c r="AI43" s="255" t="str">
        <f>IF(ROUND(AI42,6)=ROUND(AI24,6),"YES","NO")</f>
        <v>YES</v>
      </c>
    </row>
    <row r="44" spans="1:37" s="74" customFormat="1" hidden="1" outlineLevel="1" x14ac:dyDescent="0.2">
      <c r="A44" s="57"/>
      <c r="B44" s="62">
        <f>B42-B24</f>
        <v>0</v>
      </c>
      <c r="C44" s="62">
        <f>C42-C24</f>
        <v>0</v>
      </c>
      <c r="D44" s="62">
        <f t="shared" ref="D44:AI44" si="11">D42-D24</f>
        <v>0</v>
      </c>
      <c r="E44" s="63">
        <f t="shared" si="11"/>
        <v>0</v>
      </c>
      <c r="F44" s="64">
        <f t="shared" si="11"/>
        <v>0</v>
      </c>
      <c r="G44" s="65">
        <f t="shared" si="11"/>
        <v>0</v>
      </c>
      <c r="H44" s="65">
        <f t="shared" si="11"/>
        <v>0</v>
      </c>
      <c r="I44" s="65">
        <f t="shared" si="11"/>
        <v>0</v>
      </c>
      <c r="J44" s="65">
        <f t="shared" si="11"/>
        <v>0</v>
      </c>
      <c r="K44" s="64">
        <f t="shared" si="11"/>
        <v>0</v>
      </c>
      <c r="L44" s="65">
        <f t="shared" si="11"/>
        <v>0</v>
      </c>
      <c r="M44" s="65">
        <f t="shared" si="11"/>
        <v>0</v>
      </c>
      <c r="N44" s="65">
        <f t="shared" si="11"/>
        <v>0</v>
      </c>
      <c r="O44" s="65">
        <f t="shared" si="11"/>
        <v>0</v>
      </c>
      <c r="P44" s="64">
        <f t="shared" si="11"/>
        <v>0</v>
      </c>
      <c r="Q44" s="65">
        <f t="shared" si="11"/>
        <v>0</v>
      </c>
      <c r="R44" s="65">
        <f t="shared" si="11"/>
        <v>0</v>
      </c>
      <c r="S44" s="65">
        <f t="shared" si="11"/>
        <v>0</v>
      </c>
      <c r="T44" s="65">
        <f t="shared" si="11"/>
        <v>0</v>
      </c>
      <c r="U44" s="64">
        <f t="shared" si="11"/>
        <v>0</v>
      </c>
      <c r="V44" s="65">
        <f t="shared" si="11"/>
        <v>0</v>
      </c>
      <c r="W44" s="65">
        <f t="shared" si="11"/>
        <v>0</v>
      </c>
      <c r="X44" s="65">
        <f t="shared" si="11"/>
        <v>0</v>
      </c>
      <c r="Y44" s="65">
        <f t="shared" si="11"/>
        <v>0</v>
      </c>
      <c r="Z44" s="64">
        <f t="shared" si="11"/>
        <v>0</v>
      </c>
      <c r="AA44" s="65">
        <f t="shared" si="11"/>
        <v>0</v>
      </c>
      <c r="AB44" s="65">
        <f t="shared" si="11"/>
        <v>0</v>
      </c>
      <c r="AC44" s="65">
        <f t="shared" si="11"/>
        <v>0</v>
      </c>
      <c r="AD44" s="65">
        <f t="shared" si="11"/>
        <v>0</v>
      </c>
      <c r="AE44" s="64">
        <f t="shared" si="11"/>
        <v>0</v>
      </c>
      <c r="AF44" s="66">
        <f t="shared" si="11"/>
        <v>0</v>
      </c>
      <c r="AG44" s="66">
        <f t="shared" si="11"/>
        <v>0</v>
      </c>
      <c r="AH44" s="66">
        <f t="shared" si="11"/>
        <v>0</v>
      </c>
      <c r="AI44" s="66">
        <f t="shared" si="11"/>
        <v>0</v>
      </c>
    </row>
    <row r="45" spans="1:37" s="74" customFormat="1" ht="15" collapsed="1" thickBot="1" x14ac:dyDescent="0.25">
      <c r="A45" s="67"/>
      <c r="B45" s="68"/>
      <c r="C45" s="69"/>
      <c r="D45" s="70"/>
      <c r="E45" s="71"/>
      <c r="F45" s="72"/>
      <c r="G45" s="70"/>
      <c r="H45" s="70"/>
      <c r="I45" s="70"/>
      <c r="J45" s="70"/>
      <c r="K45" s="72"/>
      <c r="L45" s="70"/>
      <c r="M45" s="70"/>
      <c r="N45" s="70"/>
      <c r="O45" s="70"/>
      <c r="P45" s="72"/>
      <c r="Q45" s="70"/>
      <c r="R45" s="70"/>
      <c r="S45" s="70"/>
      <c r="T45" s="70"/>
      <c r="U45" s="72"/>
      <c r="V45" s="70"/>
      <c r="W45" s="70"/>
      <c r="X45" s="70"/>
      <c r="Y45" s="70"/>
      <c r="Z45" s="72"/>
      <c r="AA45" s="70"/>
      <c r="AB45" s="70"/>
      <c r="AC45" s="70"/>
      <c r="AD45" s="70"/>
      <c r="AE45" s="72"/>
      <c r="AF45" s="73"/>
      <c r="AG45" s="73"/>
      <c r="AH45" s="73"/>
      <c r="AI45" s="73"/>
    </row>
    <row r="46" spans="1:37" ht="15" thickBot="1" x14ac:dyDescent="0.25"/>
    <row r="47" spans="1:37" ht="15" thickBot="1" x14ac:dyDescent="0.25">
      <c r="A47" s="312" t="s">
        <v>84</v>
      </c>
      <c r="B47" s="313">
        <v>2.2500000000000003E-2</v>
      </c>
      <c r="C47" s="313">
        <v>3.5000000000000003E-2</v>
      </c>
      <c r="D47" s="313">
        <v>0.1075</v>
      </c>
      <c r="E47" s="314">
        <v>0.16000000000000003</v>
      </c>
      <c r="F47" s="315">
        <v>0.32500000000000001</v>
      </c>
      <c r="G47" s="313">
        <v>4.9000000000000009E-2</v>
      </c>
      <c r="H47" s="313">
        <v>7.6000000000000012E-2</v>
      </c>
      <c r="I47" s="313">
        <v>0.23500000000000001</v>
      </c>
      <c r="J47" s="313">
        <v>0.35000000000000003</v>
      </c>
      <c r="K47" s="315">
        <v>0.71000000000000008</v>
      </c>
      <c r="L47" s="313">
        <v>0.10215000000000003</v>
      </c>
      <c r="M47" s="313">
        <v>0.15810000000000002</v>
      </c>
      <c r="N47" s="313">
        <v>0.49125000000000008</v>
      </c>
      <c r="O47" s="313">
        <v>0.7320000000000001</v>
      </c>
      <c r="P47" s="315">
        <v>1.4835000000000003</v>
      </c>
      <c r="Q47" s="313">
        <v>0.20332500000000003</v>
      </c>
      <c r="R47" s="313">
        <v>0.31425000000000003</v>
      </c>
      <c r="S47" s="313">
        <v>0.9795750000000002</v>
      </c>
      <c r="T47" s="313">
        <v>1.4601</v>
      </c>
      <c r="U47" s="315">
        <v>2.9572500000000002</v>
      </c>
      <c r="V47" s="313">
        <v>0.38539125000000007</v>
      </c>
      <c r="W47" s="313">
        <v>0.5952225000000001</v>
      </c>
      <c r="X47" s="313">
        <v>1.8584137500000002</v>
      </c>
      <c r="Y47" s="313">
        <v>2.7704850000000003</v>
      </c>
      <c r="Z47" s="315">
        <v>5.609512500000001</v>
      </c>
      <c r="AA47" s="316"/>
      <c r="AB47" s="316"/>
      <c r="AC47" s="316"/>
      <c r="AD47" s="316"/>
      <c r="AE47" s="317">
        <v>30</v>
      </c>
      <c r="AF47" s="316">
        <v>62</v>
      </c>
      <c r="AG47" s="317">
        <v>31</v>
      </c>
      <c r="AH47" s="317">
        <v>180</v>
      </c>
      <c r="AI47" s="317">
        <v>376</v>
      </c>
    </row>
    <row r="49" spans="1:35" x14ac:dyDescent="0.2">
      <c r="A49" s="379" t="s">
        <v>106</v>
      </c>
      <c r="B49" s="380">
        <f>(B30+B33)/B40</f>
        <v>29.536295391688512</v>
      </c>
      <c r="C49" s="380">
        <f t="shared" ref="C49:AI49" si="12">(C30+C33)/C40</f>
        <v>25.924797108126295</v>
      </c>
      <c r="D49" s="380">
        <f t="shared" si="12"/>
        <v>17.4532961133777</v>
      </c>
      <c r="E49" s="380">
        <f t="shared" si="12"/>
        <v>12.920699199375843</v>
      </c>
      <c r="F49" s="380">
        <f t="shared" si="12"/>
        <v>12.920699199375843</v>
      </c>
      <c r="G49" s="380">
        <f t="shared" si="12"/>
        <v>7.8160329166643425</v>
      </c>
      <c r="H49" s="380">
        <f t="shared" si="12"/>
        <v>6.5882662977237549</v>
      </c>
      <c r="I49" s="380">
        <f t="shared" si="12"/>
        <v>4.0959745347411793</v>
      </c>
      <c r="J49" s="380">
        <f t="shared" si="12"/>
        <v>2.4548526299362279</v>
      </c>
      <c r="K49" s="380">
        <f t="shared" si="12"/>
        <v>2.4548526299362279</v>
      </c>
      <c r="L49" s="380">
        <f t="shared" si="12"/>
        <v>2.2435020169083142</v>
      </c>
      <c r="M49" s="380">
        <f t="shared" si="12"/>
        <v>1.9443148234562151</v>
      </c>
      <c r="N49" s="380">
        <f t="shared" si="12"/>
        <v>1.3109436640688139</v>
      </c>
      <c r="O49" s="380">
        <f t="shared" si="12"/>
        <v>0.87619107223882498</v>
      </c>
      <c r="P49" s="380">
        <f t="shared" si="12"/>
        <v>0.87619107223882498</v>
      </c>
      <c r="Q49" s="380">
        <f t="shared" si="12"/>
        <v>0.79703766150971944</v>
      </c>
      <c r="R49" s="380">
        <f t="shared" si="12"/>
        <v>0.69493662227643183</v>
      </c>
      <c r="S49" s="380">
        <f t="shared" si="12"/>
        <v>0.48801378875988527</v>
      </c>
      <c r="T49" s="380">
        <f t="shared" si="12"/>
        <v>0.33706342161265107</v>
      </c>
      <c r="U49" s="380">
        <f t="shared" si="12"/>
        <v>0.33706342161265107</v>
      </c>
      <c r="V49" s="380">
        <f t="shared" si="12"/>
        <v>0.30835548422345138</v>
      </c>
      <c r="W49" s="380">
        <f t="shared" si="12"/>
        <v>0.27196875091407152</v>
      </c>
      <c r="X49" s="380">
        <f t="shared" si="12"/>
        <v>0.19828015017664788</v>
      </c>
      <c r="Y49" s="380">
        <f t="shared" si="12"/>
        <v>0.14118689236513612</v>
      </c>
      <c r="Z49" s="380">
        <f t="shared" si="12"/>
        <v>0.14118689236513612</v>
      </c>
      <c r="AA49" s="380">
        <f t="shared" si="12"/>
        <v>0.13060333966926324</v>
      </c>
      <c r="AB49" s="380">
        <f t="shared" si="12"/>
        <v>0.11698645059902139</v>
      </c>
      <c r="AC49" s="380">
        <f t="shared" si="12"/>
        <v>8.8112169899998927E-2</v>
      </c>
      <c r="AD49" s="380">
        <f t="shared" si="12"/>
        <v>6.4394015653589085E-2</v>
      </c>
      <c r="AE49" s="380">
        <f t="shared" si="12"/>
        <v>6.4394015653589085E-2</v>
      </c>
      <c r="AF49" s="380">
        <f t="shared" si="12"/>
        <v>3.1598233660081326E-2</v>
      </c>
      <c r="AG49" s="380">
        <f t="shared" si="12"/>
        <v>1.6576208645855597E-2</v>
      </c>
      <c r="AH49" s="380">
        <f t="shared" si="12"/>
        <v>9.2740524627082134E-3</v>
      </c>
      <c r="AI49" s="380">
        <f t="shared" si="12"/>
        <v>5.5267955364962963E-3</v>
      </c>
    </row>
    <row r="50" spans="1:35" x14ac:dyDescent="0.2">
      <c r="F50" s="167"/>
    </row>
  </sheetData>
  <mergeCells count="1">
    <mergeCell ref="A6:A7"/>
  </mergeCell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DCF Model</vt:lpstr>
      <vt:lpstr>Capex &amp; WCN</vt:lpstr>
      <vt:lpstr>Revenue (More Detailed)</vt:lpstr>
      <vt:lpstr>Income Statement</vt:lpstr>
      <vt:lpstr>Balance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Rhea Bangera</cp:lastModifiedBy>
  <cp:lastPrinted>2025-05-05T22:51:34Z</cp:lastPrinted>
  <dcterms:created xsi:type="dcterms:W3CDTF">2016-06-13T10:20:31Z</dcterms:created>
  <dcterms:modified xsi:type="dcterms:W3CDTF">2025-06-16T13:57:36Z</dcterms:modified>
</cp:coreProperties>
</file>